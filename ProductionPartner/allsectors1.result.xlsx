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Bre\Downloads\"/>
    </mc:Choice>
  </mc:AlternateContent>
  <xr:revisionPtr revIDLastSave="0" documentId="8_{8EF1F237-EE45-46C5-AA1F-11CE96BD1F6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definedNames>
    <definedName name="_xlchart.v1.0" hidden="1">Sheet2!$F$3</definedName>
    <definedName name="_xlchart.v1.1" hidden="1">Sheet2!$A$3:$A$8</definedName>
    <definedName name="_xlchart.v1.2" hidden="1">Sheet2!$C$3:$C$8</definedName>
    <definedName name="_xlchart.v1.3" hidden="1">Sheet2!$F$3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35" i="1"/>
  <c r="E101" i="1"/>
  <c r="E83" i="1"/>
  <c r="E66" i="1"/>
</calcChain>
</file>

<file path=xl/sharedStrings.xml><?xml version="1.0" encoding="utf-8"?>
<sst xmlns="http://schemas.openxmlformats.org/spreadsheetml/2006/main" count="399" uniqueCount="217">
  <si>
    <t>Company</t>
  </si>
  <si>
    <t>Ticker</t>
  </si>
  <si>
    <t>sector</t>
  </si>
  <si>
    <t>avgdividend</t>
  </si>
  <si>
    <t>totaldividends</t>
  </si>
  <si>
    <t>price_start</t>
  </si>
  <si>
    <t>price_end</t>
  </si>
  <si>
    <t>change</t>
  </si>
  <si>
    <t>totalreturn</t>
  </si>
  <si>
    <t>totalreturnover10</t>
  </si>
  <si>
    <t>shares500</t>
  </si>
  <si>
    <t>totalspend</t>
  </si>
  <si>
    <t>fiveyearequityproj</t>
  </si>
  <si>
    <t>fiveyeardivproj</t>
  </si>
  <si>
    <t>totalfiveyearview</t>
  </si>
  <si>
    <t>selected</t>
  </si>
  <si>
    <t>Canadian Imperial Bank of Commerce</t>
  </si>
  <si>
    <t>CM</t>
  </si>
  <si>
    <t>financials</t>
  </si>
  <si>
    <t>TBD</t>
  </si>
  <si>
    <t>Toronto-Dominion Bank (The)</t>
  </si>
  <si>
    <t>TD</t>
  </si>
  <si>
    <t>OneMain Holdings Inc</t>
  </si>
  <si>
    <t>OMF</t>
  </si>
  <si>
    <t>T. Rowe Price Group Inc</t>
  </si>
  <si>
    <t>TROW</t>
  </si>
  <si>
    <t>Grupo Cibest S.A</t>
  </si>
  <si>
    <t>CIB</t>
  </si>
  <si>
    <t>Main Street Capital Corp</t>
  </si>
  <si>
    <t>MAIN</t>
  </si>
  <si>
    <t>Woori Financial Group Inc</t>
  </si>
  <si>
    <t>WF</t>
  </si>
  <si>
    <t>BNP Paribas</t>
  </si>
  <si>
    <t>BNPQY</t>
  </si>
  <si>
    <t>Prudential Financial Inc</t>
  </si>
  <si>
    <t>PRU</t>
  </si>
  <si>
    <t>Zions Bancorporation National Association</t>
  </si>
  <si>
    <t>ZION</t>
  </si>
  <si>
    <t>Radian Group Inc</t>
  </si>
  <si>
    <t>RDN</t>
  </si>
  <si>
    <t>ING Groep NV</t>
  </si>
  <si>
    <t>ING</t>
  </si>
  <si>
    <t>ARES CAPITAL CORPORATION</t>
  </si>
  <si>
    <t>ARCC</t>
  </si>
  <si>
    <t>Annaly Capital Management Inc</t>
  </si>
  <si>
    <t>NLY</t>
  </si>
  <si>
    <t>Absa Group Ltd</t>
  </si>
  <si>
    <t>AGRPY</t>
  </si>
  <si>
    <t>NatWest Group plc</t>
  </si>
  <si>
    <t>NWG</t>
  </si>
  <si>
    <t>Associated Banc-Corp</t>
  </si>
  <si>
    <t>ASB</t>
  </si>
  <si>
    <t>Fulton Financial Corp</t>
  </si>
  <si>
    <t>FULT</t>
  </si>
  <si>
    <t>Bank OZK</t>
  </si>
  <si>
    <t>OZK</t>
  </si>
  <si>
    <t>Lincoln National Corp</t>
  </si>
  <si>
    <t>LNC</t>
  </si>
  <si>
    <t>Blackstone Secured Lending Fund</t>
  </si>
  <si>
    <t>BXSL</t>
  </si>
  <si>
    <t>Ferrari NV</t>
  </si>
  <si>
    <t>RACE</t>
  </si>
  <si>
    <t>autos</t>
  </si>
  <si>
    <t>Toyota Motor Corp</t>
  </si>
  <si>
    <t>TM</t>
  </si>
  <si>
    <t>Patrick Industries Inc</t>
  </si>
  <si>
    <t>PATK</t>
  </si>
  <si>
    <t>Autoliv Inc</t>
  </si>
  <si>
    <t>ALV</t>
  </si>
  <si>
    <t>Magna International Inc</t>
  </si>
  <si>
    <t>MGA</t>
  </si>
  <si>
    <t>BorgWarner Inc</t>
  </si>
  <si>
    <t>BWA</t>
  </si>
  <si>
    <t>Lear Corp</t>
  </si>
  <si>
    <t>LEA</t>
  </si>
  <si>
    <t>Mercedes Benz Group AG</t>
  </si>
  <si>
    <t>MBGYY</t>
  </si>
  <si>
    <t>Gentex Corporation</t>
  </si>
  <si>
    <t>GNTX</t>
  </si>
  <si>
    <t>Honda Motor Co Ltd</t>
  </si>
  <si>
    <t>HMC</t>
  </si>
  <si>
    <t>THOR Industries Inc</t>
  </si>
  <si>
    <t>THO</t>
  </si>
  <si>
    <t>GSK plc</t>
  </si>
  <si>
    <t>GSK</t>
  </si>
  <si>
    <t>health</t>
  </si>
  <si>
    <t>Medtronic PLC</t>
  </si>
  <si>
    <t>MDT</t>
  </si>
  <si>
    <t>Novo Nordisk A/S</t>
  </si>
  <si>
    <t>NVO</t>
  </si>
  <si>
    <t>Sanofi</t>
  </si>
  <si>
    <t>SNY</t>
  </si>
  <si>
    <t>CVS Health Corp</t>
  </si>
  <si>
    <t>CVS</t>
  </si>
  <si>
    <t>Bristol-Myers Squibb Co</t>
  </si>
  <si>
    <t>BMY</t>
  </si>
  <si>
    <t>Pfizer Inc</t>
  </si>
  <si>
    <t>PFE</t>
  </si>
  <si>
    <t>Sonic Healthcare Ltd</t>
  </si>
  <si>
    <t>SKHHY</t>
  </si>
  <si>
    <t>Koninklijke Philips NV</t>
  </si>
  <si>
    <t>PHG</t>
  </si>
  <si>
    <t>Coloplast A/S</t>
  </si>
  <si>
    <t>CLPBY</t>
  </si>
  <si>
    <t>Takeda Pharmaceutical Co Ltd</t>
  </si>
  <si>
    <t>TAK</t>
  </si>
  <si>
    <t>Fresenius Medical Care AG</t>
  </si>
  <si>
    <t>FMS</t>
  </si>
  <si>
    <t>Nexstar Media Group Inc.</t>
  </si>
  <si>
    <t>NXST</t>
  </si>
  <si>
    <t>media</t>
  </si>
  <si>
    <t>Swisscom AG</t>
  </si>
  <si>
    <t>SCMWY</t>
  </si>
  <si>
    <t>SK Telecom Co Ltd</t>
  </si>
  <si>
    <t>SKM</t>
  </si>
  <si>
    <t>Chunghwa Telecom Co Ltd</t>
  </si>
  <si>
    <t>CHT</t>
  </si>
  <si>
    <t>Verizon Communications Inc</t>
  </si>
  <si>
    <t>VZ</t>
  </si>
  <si>
    <t>Rogers Communications Inc</t>
  </si>
  <si>
    <t>RCI</t>
  </si>
  <si>
    <t>Telenor ASA</t>
  </si>
  <si>
    <t>TELNY</t>
  </si>
  <si>
    <t>Publicis Groupe SA</t>
  </si>
  <si>
    <t>PUBGY</t>
  </si>
  <si>
    <t>AT&amp;T Inc</t>
  </si>
  <si>
    <t>T</t>
  </si>
  <si>
    <t>KT Corporation</t>
  </si>
  <si>
    <t>KT</t>
  </si>
  <si>
    <t>PLDT Inc</t>
  </si>
  <si>
    <t>PHI</t>
  </si>
  <si>
    <t>Comcast Corp</t>
  </si>
  <si>
    <t>CMCSA</t>
  </si>
  <si>
    <t>Telstra Group Limited</t>
  </si>
  <si>
    <t>TLGPY</t>
  </si>
  <si>
    <t>BCE Inc.</t>
  </si>
  <si>
    <t>BCE</t>
  </si>
  <si>
    <t>Perusahaan Perseroan (Persero) PT Telekomunikasi I</t>
  </si>
  <si>
    <t>TLK</t>
  </si>
  <si>
    <t>Sirius XM Holdings Inc</t>
  </si>
  <si>
    <t>SIRI</t>
  </si>
  <si>
    <t>Millicom International Cellular SA</t>
  </si>
  <si>
    <t>TIGO</t>
  </si>
  <si>
    <t>Watsco Inc</t>
  </si>
  <si>
    <t>WSO</t>
  </si>
  <si>
    <t>industrials</t>
  </si>
  <si>
    <t>Grupo Aeroportuario del Sureste SAB de CV</t>
  </si>
  <si>
    <t>ASR</t>
  </si>
  <si>
    <t>Grupo Aeroportuario Del Pacifico SA</t>
  </si>
  <si>
    <t>PAC</t>
  </si>
  <si>
    <t>Grupo Aeroportuario del Centro Norte SAB de CV</t>
  </si>
  <si>
    <t>OMAB</t>
  </si>
  <si>
    <t>Paychex Inc.</t>
  </si>
  <si>
    <t>PAYX</t>
  </si>
  <si>
    <t>Wolters Kluwer NV</t>
  </si>
  <si>
    <t>WTKWY</t>
  </si>
  <si>
    <t>Copa Holdings SA</t>
  </si>
  <si>
    <t>CPA</t>
  </si>
  <si>
    <t>MSC Industrial Direct Co Inc.</t>
  </si>
  <si>
    <t>MSM</t>
  </si>
  <si>
    <t>United Parcel Service Inc</t>
  </si>
  <si>
    <t>UPS</t>
  </si>
  <si>
    <t>Komatsu Ltd</t>
  </si>
  <si>
    <t>KMTUY</t>
  </si>
  <si>
    <t>Atlas Copco AB (publ)</t>
  </si>
  <si>
    <t>ATLKY</t>
  </si>
  <si>
    <t>ATLCY</t>
  </si>
  <si>
    <t>Svenska Kullagerfabriken Skf AB</t>
  </si>
  <si>
    <t>SKFRY</t>
  </si>
  <si>
    <t>Bunzl PLC</t>
  </si>
  <si>
    <t>BZLFY</t>
  </si>
  <si>
    <t>Stanley Black &amp; Decker Inc</t>
  </si>
  <si>
    <t>SWK</t>
  </si>
  <si>
    <t>Daimler Truck Holding AG</t>
  </si>
  <si>
    <t>DTRUY</t>
  </si>
  <si>
    <t>Public Storage</t>
  </si>
  <si>
    <t>PSA</t>
  </si>
  <si>
    <t>reits</t>
  </si>
  <si>
    <t>Extra Space Storage Inc</t>
  </si>
  <si>
    <t>EXR</t>
  </si>
  <si>
    <t>Agree Realty Corp</t>
  </si>
  <si>
    <t>ADC</t>
  </si>
  <si>
    <t>Gaming and Leisure Properties Inc</t>
  </si>
  <si>
    <t>GLPI</t>
  </si>
  <si>
    <t>Omega Healthcare Investors Inc.</t>
  </si>
  <si>
    <t>OHI</t>
  </si>
  <si>
    <t>Realty Income Corp</t>
  </si>
  <si>
    <t>O</t>
  </si>
  <si>
    <t>Independence Realty Trust Inc</t>
  </si>
  <si>
    <t>IRT</t>
  </si>
  <si>
    <t>UDR Inc</t>
  </si>
  <si>
    <t>UDR</t>
  </si>
  <si>
    <t>Tanger Inc</t>
  </si>
  <si>
    <t>SKT</t>
  </si>
  <si>
    <t>Sabra Health Care REIT Inc</t>
  </si>
  <si>
    <t>SBRA</t>
  </si>
  <si>
    <t>Weyerhaeuser Co</t>
  </si>
  <si>
    <t>WY</t>
  </si>
  <si>
    <t>Healthpeak Properties Inc</t>
  </si>
  <si>
    <t>DOC</t>
  </si>
  <si>
    <t>Kilroy Realty Corp</t>
  </si>
  <si>
    <t>KRC</t>
  </si>
  <si>
    <t>Alexandria Real Estate Equities Inc.</t>
  </si>
  <si>
    <t>ARE</t>
  </si>
  <si>
    <t>Americold Realty Trust Inc</t>
  </si>
  <si>
    <t>COLD</t>
  </si>
  <si>
    <t>Essential Properties Realty Trust Inc</t>
  </si>
  <si>
    <t>EPRT</t>
  </si>
  <si>
    <t>Millrose Properties Inc</t>
  </si>
  <si>
    <t>MRP</t>
  </si>
  <si>
    <t>Portfolio of 10,000 dollars for each</t>
  </si>
  <si>
    <t>Financials</t>
  </si>
  <si>
    <t>Auto</t>
  </si>
  <si>
    <t>Health</t>
  </si>
  <si>
    <t>Media</t>
  </si>
  <si>
    <t>Industrials</t>
  </si>
  <si>
    <t>Reits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</si>
</sst>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 Dividend</a:t>
            </a:r>
            <a:r>
              <a:rPr lang="en-US" baseline="0"/>
              <a:t> Payout (10,000 dollars)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Sheet2!$A$3:$A$8</c:f>
              <c:strCache>
                <c:ptCount val="6"/>
                <c:pt idx="0">
                  <c:v>Financials</c:v>
                </c:pt>
                <c:pt idx="1">
                  <c:v>Auto</c:v>
                </c:pt>
                <c:pt idx="2">
                  <c:v>Health</c:v>
                </c:pt>
                <c:pt idx="3">
                  <c:v>Media</c:v>
                </c:pt>
                <c:pt idx="4">
                  <c:v>Industrials</c:v>
                </c:pt>
                <c:pt idx="5">
                  <c:v>Reits</c:v>
                </c:pt>
              </c:strCache>
            </c:strRef>
          </c:cat>
          <c:val>
            <c:numRef>
              <c:f>Sheet2!$C$3:$C$8</c:f>
              <c:numCache>
                <c:formatCode>General</c:formatCode>
                <c:ptCount val="6"/>
                <c:pt idx="0">
                  <c:v>19.117073476190473</c:v>
                </c:pt>
                <c:pt idx="1">
                  <c:v>15.8925</c:v>
                </c:pt>
                <c:pt idx="2">
                  <c:v>12.403873500000001</c:v>
                </c:pt>
                <c:pt idx="3">
                  <c:v>15.389988235294117</c:v>
                </c:pt>
                <c:pt idx="4">
                  <c:v>28.284984375000004</c:v>
                </c:pt>
                <c:pt idx="5">
                  <c:v>24.424603176470587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C-4C02-AEC1-6E0EA730E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796831"/>
        <c:axId val="581801631"/>
      </c:barChart>
      <c:catAx>
        <c:axId val="58179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01631"/>
        <c:crosses val="autoZero"/>
        <c:auto val="1"/>
        <c:lblAlgn val="ctr"/>
        <c:lblOffset val="100"/>
        <c:noMultiLvlLbl val="0"/>
      </c:catAx>
      <c:valAx>
        <c:axId val="58180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Percentage surplus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9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101600</xdr:rowOff>
    </xdr:from>
    <xdr:to>
      <xdr:col>13</xdr:col>
      <xdr:colOff>9525</xdr:colOff>
      <xdr:row>16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6E3ED4-FAD1-C9F7-410F-EE5114006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workbookViewId="0">
      <selection activeCell="E1" sqref="E1"/>
    </sheetView>
  </sheetViews>
  <sheetFormatPr defaultRowHeight="14.5" x14ac:dyDescent="0.35"/>
  <cols>
    <col min="3" max="3" width="8.81640625" customWidth="1"/>
    <col min="4" max="4" width="14.90625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1.9483181818181821</v>
      </c>
      <c r="E2">
        <v>21.4315</v>
      </c>
      <c r="F2">
        <v>40.799999237060547</v>
      </c>
      <c r="G2">
        <v>108.5500030517578</v>
      </c>
      <c r="H2">
        <v>67.750003814697266</v>
      </c>
      <c r="I2">
        <v>89.181503814697265</v>
      </c>
      <c r="J2">
        <v>8.9181503814697258</v>
      </c>
      <c r="K2">
        <v>5</v>
      </c>
      <c r="L2">
        <v>542.75001525878906</v>
      </c>
      <c r="M2">
        <v>44.590751907348633</v>
      </c>
      <c r="N2">
        <v>9.7415909090909096</v>
      </c>
      <c r="O2">
        <v>54.332342816439542</v>
      </c>
      <c r="P2" t="s">
        <v>19</v>
      </c>
    </row>
    <row r="3" spans="1:16" x14ac:dyDescent="0.35">
      <c r="A3" t="s">
        <v>20</v>
      </c>
      <c r="B3" t="s">
        <v>21</v>
      </c>
      <c r="C3" t="s">
        <v>18</v>
      </c>
      <c r="D3">
        <v>2.1181818181818182</v>
      </c>
      <c r="E3">
        <v>23.3</v>
      </c>
      <c r="F3">
        <v>49.340000152587891</v>
      </c>
      <c r="G3">
        <v>105.0299987792969</v>
      </c>
      <c r="H3">
        <v>55.689998626708977</v>
      </c>
      <c r="I3">
        <v>78.989998626708982</v>
      </c>
      <c r="J3">
        <v>7.8989998626708982</v>
      </c>
      <c r="K3">
        <v>5</v>
      </c>
      <c r="L3">
        <v>525.14999389648438</v>
      </c>
      <c r="M3">
        <v>39.494999313354491</v>
      </c>
      <c r="N3">
        <v>10.59090909090909</v>
      </c>
      <c r="O3">
        <v>50.085908404263577</v>
      </c>
      <c r="P3" t="s">
        <v>19</v>
      </c>
    </row>
    <row r="4" spans="1:16" x14ac:dyDescent="0.35">
      <c r="A4" t="s">
        <v>22</v>
      </c>
      <c r="B4" t="s">
        <v>23</v>
      </c>
      <c r="C4" t="s">
        <v>18</v>
      </c>
      <c r="D4">
        <v>4.4537500000000003</v>
      </c>
      <c r="E4">
        <v>35.630000000000003</v>
      </c>
      <c r="F4">
        <v>22.139999389648441</v>
      </c>
      <c r="G4">
        <v>59</v>
      </c>
      <c r="H4">
        <v>36.860000610351563</v>
      </c>
      <c r="I4">
        <v>72.490000610351558</v>
      </c>
      <c r="J4">
        <v>7.2490000610351562</v>
      </c>
      <c r="K4">
        <v>9</v>
      </c>
      <c r="L4">
        <v>531</v>
      </c>
      <c r="M4">
        <v>36.245000305175779</v>
      </c>
      <c r="N4">
        <v>22.268750000000001</v>
      </c>
      <c r="O4">
        <v>58.513750305175783</v>
      </c>
      <c r="P4" t="s">
        <v>19</v>
      </c>
    </row>
    <row r="5" spans="1:16" x14ac:dyDescent="0.35">
      <c r="A5" t="s">
        <v>24</v>
      </c>
      <c r="B5" t="s">
        <v>25</v>
      </c>
      <c r="C5" t="s">
        <v>18</v>
      </c>
      <c r="D5">
        <v>3.7890909090909091</v>
      </c>
      <c r="E5">
        <v>41.68</v>
      </c>
      <c r="F5">
        <v>75.260002136230469</v>
      </c>
      <c r="G5">
        <v>99.489997863769531</v>
      </c>
      <c r="H5">
        <v>24.229995727539059</v>
      </c>
      <c r="I5">
        <v>65.909995727539069</v>
      </c>
      <c r="J5">
        <v>6.5909995727539066</v>
      </c>
      <c r="K5">
        <v>6</v>
      </c>
      <c r="L5">
        <v>596.93998718261719</v>
      </c>
      <c r="M5">
        <v>32.954997863769528</v>
      </c>
      <c r="N5">
        <v>18.945454545454549</v>
      </c>
      <c r="O5">
        <v>51.90045240922408</v>
      </c>
      <c r="P5" t="s">
        <v>19</v>
      </c>
    </row>
    <row r="6" spans="1:16" x14ac:dyDescent="0.35">
      <c r="A6" t="s">
        <v>26</v>
      </c>
      <c r="B6" t="s">
        <v>27</v>
      </c>
      <c r="C6" t="s">
        <v>18</v>
      </c>
      <c r="D6">
        <v>2.4335454545454551</v>
      </c>
      <c r="E6">
        <v>26.768999999999998</v>
      </c>
      <c r="F6">
        <v>36.680000305175781</v>
      </c>
      <c r="G6">
        <v>71.889999389648438</v>
      </c>
      <c r="H6">
        <v>35.209999084472663</v>
      </c>
      <c r="I6">
        <v>61.978999084472662</v>
      </c>
      <c r="J6">
        <v>6.1978999084472663</v>
      </c>
      <c r="K6">
        <v>7</v>
      </c>
      <c r="L6">
        <v>503.22999572753912</v>
      </c>
      <c r="M6">
        <v>30.989499542236331</v>
      </c>
      <c r="N6">
        <v>12.167727272727269</v>
      </c>
      <c r="O6">
        <v>43.157226814963607</v>
      </c>
      <c r="P6" t="s">
        <v>19</v>
      </c>
    </row>
    <row r="7" spans="1:16" x14ac:dyDescent="0.35">
      <c r="A7" t="s">
        <v>28</v>
      </c>
      <c r="B7" t="s">
        <v>29</v>
      </c>
      <c r="C7" t="s">
        <v>18</v>
      </c>
      <c r="D7">
        <v>2.8831818181818178</v>
      </c>
      <c r="E7">
        <v>31.715</v>
      </c>
      <c r="F7">
        <v>36.770000457763672</v>
      </c>
      <c r="G7">
        <v>54.020000457763672</v>
      </c>
      <c r="H7">
        <v>17.25</v>
      </c>
      <c r="I7">
        <v>48.965000000000003</v>
      </c>
      <c r="J7">
        <v>4.8965000000000014</v>
      </c>
      <c r="K7">
        <v>10</v>
      </c>
      <c r="L7">
        <v>540.20000457763672</v>
      </c>
      <c r="M7">
        <v>24.482500000000002</v>
      </c>
      <c r="N7">
        <v>14.415909090909089</v>
      </c>
      <c r="O7">
        <v>38.898409090909091</v>
      </c>
      <c r="P7" t="s">
        <v>19</v>
      </c>
    </row>
    <row r="8" spans="1:16" x14ac:dyDescent="0.35">
      <c r="A8" t="s">
        <v>30</v>
      </c>
      <c r="B8" t="s">
        <v>31</v>
      </c>
      <c r="C8" t="s">
        <v>18</v>
      </c>
      <c r="D8">
        <v>2.34775</v>
      </c>
      <c r="E8">
        <v>9.391</v>
      </c>
      <c r="F8">
        <v>32</v>
      </c>
      <c r="G8">
        <v>70.639999389648438</v>
      </c>
      <c r="H8">
        <v>38.639999389648438</v>
      </c>
      <c r="I8">
        <v>48.030999389648443</v>
      </c>
      <c r="J8">
        <v>4.8030999389648432</v>
      </c>
      <c r="K8">
        <v>8</v>
      </c>
      <c r="L8">
        <v>565.1199951171875</v>
      </c>
      <c r="M8">
        <v>24.015499694824211</v>
      </c>
      <c r="N8">
        <v>11.73875</v>
      </c>
      <c r="O8">
        <v>35.75424969482421</v>
      </c>
      <c r="P8" t="s">
        <v>19</v>
      </c>
    </row>
    <row r="9" spans="1:16" x14ac:dyDescent="0.35">
      <c r="A9" t="s">
        <v>32</v>
      </c>
      <c r="B9" t="s">
        <v>33</v>
      </c>
      <c r="C9" t="s">
        <v>18</v>
      </c>
      <c r="D9">
        <v>1.915888888888889</v>
      </c>
      <c r="E9">
        <v>17.242999999999999</v>
      </c>
      <c r="F9">
        <v>31.85000038146973</v>
      </c>
      <c r="G9">
        <v>51.869998931884773</v>
      </c>
      <c r="H9">
        <v>20.019998550415039</v>
      </c>
      <c r="I9">
        <v>37.262998550415041</v>
      </c>
      <c r="J9">
        <v>3.7262998550415039</v>
      </c>
      <c r="K9">
        <v>10</v>
      </c>
      <c r="L9">
        <v>518.69998931884766</v>
      </c>
      <c r="M9">
        <v>18.631499275207521</v>
      </c>
      <c r="N9">
        <v>9.5794444444444444</v>
      </c>
      <c r="O9">
        <v>28.210943719651969</v>
      </c>
      <c r="P9" t="s">
        <v>19</v>
      </c>
    </row>
    <row r="10" spans="1:16" x14ac:dyDescent="0.35">
      <c r="A10" t="s">
        <v>34</v>
      </c>
      <c r="B10" t="s">
        <v>35</v>
      </c>
      <c r="C10" t="s">
        <v>18</v>
      </c>
      <c r="D10">
        <v>3.954545454545455</v>
      </c>
      <c r="E10">
        <v>43.5</v>
      </c>
      <c r="F10">
        <v>104.05999755859381</v>
      </c>
      <c r="G10">
        <v>94.349998474121094</v>
      </c>
      <c r="H10">
        <v>-9.7099990844726563</v>
      </c>
      <c r="I10">
        <v>33.790000915527337</v>
      </c>
      <c r="J10">
        <v>3.3790000915527338</v>
      </c>
      <c r="K10">
        <v>6</v>
      </c>
      <c r="L10">
        <v>566.09999084472656</v>
      </c>
      <c r="M10">
        <v>16.895000457763668</v>
      </c>
      <c r="N10">
        <v>19.77272727272727</v>
      </c>
      <c r="O10">
        <v>36.667727730490952</v>
      </c>
      <c r="P10" t="s">
        <v>19</v>
      </c>
    </row>
    <row r="11" spans="1:16" x14ac:dyDescent="0.35">
      <c r="A11" t="s">
        <v>36</v>
      </c>
      <c r="B11" t="s">
        <v>37</v>
      </c>
      <c r="C11" t="s">
        <v>18</v>
      </c>
      <c r="D11">
        <v>1.17</v>
      </c>
      <c r="E11">
        <v>12.87</v>
      </c>
      <c r="F11">
        <v>43.040000915527337</v>
      </c>
      <c r="G11">
        <v>62.630001068115227</v>
      </c>
      <c r="H11">
        <v>19.590000152587891</v>
      </c>
      <c r="I11">
        <v>32.460000152587888</v>
      </c>
      <c r="J11">
        <v>3.2460000152587889</v>
      </c>
      <c r="K11">
        <v>8</v>
      </c>
      <c r="L11">
        <v>501.04000854492188</v>
      </c>
      <c r="M11">
        <v>16.23000007629394</v>
      </c>
      <c r="N11">
        <v>5.85</v>
      </c>
      <c r="O11">
        <v>22.080000076293938</v>
      </c>
      <c r="P11" t="s">
        <v>19</v>
      </c>
    </row>
    <row r="12" spans="1:16" x14ac:dyDescent="0.35">
      <c r="A12" t="s">
        <v>38</v>
      </c>
      <c r="B12" t="s">
        <v>39</v>
      </c>
      <c r="C12" t="s">
        <v>18</v>
      </c>
      <c r="D12">
        <v>0.45863636363636362</v>
      </c>
      <c r="E12">
        <v>5.0449999999999999</v>
      </c>
      <c r="F12">
        <v>17.979999542236332</v>
      </c>
      <c r="G12">
        <v>35.970001220703132</v>
      </c>
      <c r="H12">
        <v>17.9900016784668</v>
      </c>
      <c r="I12">
        <v>23.035001678466799</v>
      </c>
      <c r="J12">
        <v>2.3035001678466802</v>
      </c>
      <c r="K12">
        <v>14</v>
      </c>
      <c r="L12">
        <v>503.58001708984381</v>
      </c>
      <c r="M12">
        <v>11.517500839233399</v>
      </c>
      <c r="N12">
        <v>2.293181818181818</v>
      </c>
      <c r="O12">
        <v>13.810682657415221</v>
      </c>
      <c r="P12" t="s">
        <v>19</v>
      </c>
    </row>
    <row r="13" spans="1:16" x14ac:dyDescent="0.35">
      <c r="A13" t="s">
        <v>40</v>
      </c>
      <c r="B13" t="s">
        <v>41</v>
      </c>
      <c r="C13" t="s">
        <v>18</v>
      </c>
      <c r="D13">
        <v>0.85580000000000001</v>
      </c>
      <c r="E13">
        <v>8.5579999999999998</v>
      </c>
      <c r="F13">
        <v>14.10000038146973</v>
      </c>
      <c r="G13">
        <v>27.719999313354489</v>
      </c>
      <c r="H13">
        <v>13.619998931884769</v>
      </c>
      <c r="I13">
        <v>22.177998931884769</v>
      </c>
      <c r="J13">
        <v>2.2177998931884759</v>
      </c>
      <c r="K13">
        <v>19</v>
      </c>
      <c r="L13">
        <v>526.67998695373535</v>
      </c>
      <c r="M13">
        <v>11.088999465942379</v>
      </c>
      <c r="N13">
        <v>4.2789999999999999</v>
      </c>
      <c r="O13">
        <v>15.367999465942381</v>
      </c>
      <c r="P13" t="s">
        <v>19</v>
      </c>
    </row>
    <row r="14" spans="1:16" x14ac:dyDescent="0.35">
      <c r="A14" t="s">
        <v>42</v>
      </c>
      <c r="B14" t="s">
        <v>43</v>
      </c>
      <c r="C14" t="s">
        <v>18</v>
      </c>
      <c r="D14">
        <v>1.564545454545454</v>
      </c>
      <c r="E14">
        <v>17.21</v>
      </c>
      <c r="F14">
        <v>16.489999771118161</v>
      </c>
      <c r="G14">
        <v>18.620000839233398</v>
      </c>
      <c r="H14">
        <v>2.1300010681152339</v>
      </c>
      <c r="I14">
        <v>19.340001068115239</v>
      </c>
      <c r="J14">
        <v>1.934000106811524</v>
      </c>
      <c r="K14">
        <v>27</v>
      </c>
      <c r="L14">
        <v>502.74002265930181</v>
      </c>
      <c r="M14">
        <v>9.6700005340576176</v>
      </c>
      <c r="N14">
        <v>7.8227272727272723</v>
      </c>
      <c r="O14">
        <v>17.492727806784892</v>
      </c>
      <c r="P14" t="s">
        <v>19</v>
      </c>
    </row>
    <row r="15" spans="1:16" x14ac:dyDescent="0.35">
      <c r="A15" t="s">
        <v>44</v>
      </c>
      <c r="B15" t="s">
        <v>45</v>
      </c>
      <c r="C15" t="s">
        <v>18</v>
      </c>
      <c r="D15">
        <v>3.3436363636363642</v>
      </c>
      <c r="E15">
        <v>36.78</v>
      </c>
      <c r="F15">
        <v>39.880001068115227</v>
      </c>
      <c r="G15">
        <v>22.430000305175781</v>
      </c>
      <c r="H15">
        <v>-17.45000076293945</v>
      </c>
      <c r="I15">
        <v>19.329999237060552</v>
      </c>
      <c r="J15">
        <v>1.9329999237060549</v>
      </c>
      <c r="K15">
        <v>23</v>
      </c>
      <c r="L15">
        <v>515.89000701904297</v>
      </c>
      <c r="M15">
        <v>9.664999618530274</v>
      </c>
      <c r="N15">
        <v>16.718181818181819</v>
      </c>
      <c r="O15">
        <v>26.383181436712089</v>
      </c>
      <c r="P15" t="s">
        <v>19</v>
      </c>
    </row>
    <row r="16" spans="1:16" x14ac:dyDescent="0.35">
      <c r="A16" t="s">
        <v>46</v>
      </c>
      <c r="B16" t="s">
        <v>47</v>
      </c>
      <c r="C16" t="s">
        <v>18</v>
      </c>
      <c r="D16">
        <v>1.1849000000000001</v>
      </c>
      <c r="E16">
        <v>11.849</v>
      </c>
      <c r="F16">
        <v>25</v>
      </c>
      <c r="G16">
        <v>28.64999961853027</v>
      </c>
      <c r="H16">
        <v>3.649999618530273</v>
      </c>
      <c r="I16">
        <v>15.49899961853027</v>
      </c>
      <c r="J16">
        <v>1.5498999618530269</v>
      </c>
      <c r="K16">
        <v>18</v>
      </c>
      <c r="L16">
        <v>515.69999313354492</v>
      </c>
      <c r="M16">
        <v>7.7494998092651368</v>
      </c>
      <c r="N16">
        <v>5.9245000000000001</v>
      </c>
      <c r="O16">
        <v>13.67399980926514</v>
      </c>
      <c r="P16" t="s">
        <v>19</v>
      </c>
    </row>
    <row r="17" spans="1:16" x14ac:dyDescent="0.35">
      <c r="A17" t="s">
        <v>48</v>
      </c>
      <c r="B17" t="s">
        <v>49</v>
      </c>
      <c r="C17" t="s">
        <v>18</v>
      </c>
      <c r="D17">
        <v>0.45511588888888888</v>
      </c>
      <c r="E17">
        <v>4.0960429999999999</v>
      </c>
      <c r="F17">
        <v>5.9590520858764648</v>
      </c>
      <c r="G17">
        <v>15.680000305175779</v>
      </c>
      <c r="H17">
        <v>9.7209482192993164</v>
      </c>
      <c r="I17">
        <v>13.81699121929932</v>
      </c>
      <c r="J17">
        <v>1.3816991219299319</v>
      </c>
      <c r="K17">
        <v>32</v>
      </c>
      <c r="L17">
        <v>501.760009765625</v>
      </c>
      <c r="M17">
        <v>6.908495609649659</v>
      </c>
      <c r="N17">
        <v>2.2755794444444439</v>
      </c>
      <c r="O17">
        <v>9.1840750540941034</v>
      </c>
      <c r="P17" t="s">
        <v>19</v>
      </c>
    </row>
    <row r="18" spans="1:16" x14ac:dyDescent="0.35">
      <c r="A18" t="s">
        <v>50</v>
      </c>
      <c r="B18" t="s">
        <v>51</v>
      </c>
      <c r="C18" t="s">
        <v>18</v>
      </c>
      <c r="D18">
        <v>0.66818181818181821</v>
      </c>
      <c r="E18">
        <v>7.35</v>
      </c>
      <c r="F18">
        <v>24.70000076293945</v>
      </c>
      <c r="G18">
        <v>27.909999847412109</v>
      </c>
      <c r="H18">
        <v>3.2099990844726558</v>
      </c>
      <c r="I18">
        <v>10.559999084472659</v>
      </c>
      <c r="J18">
        <v>1.055999908447266</v>
      </c>
      <c r="K18">
        <v>18</v>
      </c>
      <c r="L18">
        <v>502.37999725341803</v>
      </c>
      <c r="M18">
        <v>5.2799995422363279</v>
      </c>
      <c r="N18">
        <v>3.3409090909090908</v>
      </c>
      <c r="O18">
        <v>8.6209086331454188</v>
      </c>
      <c r="P18" t="s">
        <v>19</v>
      </c>
    </row>
    <row r="19" spans="1:16" x14ac:dyDescent="0.35">
      <c r="A19" t="s">
        <v>52</v>
      </c>
      <c r="B19" t="s">
        <v>53</v>
      </c>
      <c r="C19" t="s">
        <v>18</v>
      </c>
      <c r="D19">
        <v>0.5436363636363637</v>
      </c>
      <c r="E19">
        <v>5.98</v>
      </c>
      <c r="F19">
        <v>18.79999923706055</v>
      </c>
      <c r="G19">
        <v>22.079999923706051</v>
      </c>
      <c r="H19">
        <v>3.2800006866455078</v>
      </c>
      <c r="I19">
        <v>9.2600006866455082</v>
      </c>
      <c r="J19">
        <v>0.92600006866455087</v>
      </c>
      <c r="K19">
        <v>23</v>
      </c>
      <c r="L19">
        <v>507.83999824523931</v>
      </c>
      <c r="M19">
        <v>4.6300003433227541</v>
      </c>
      <c r="N19">
        <v>2.7181818181818191</v>
      </c>
      <c r="O19">
        <v>7.3481821615045728</v>
      </c>
      <c r="P19" t="s">
        <v>19</v>
      </c>
    </row>
    <row r="20" spans="1:16" x14ac:dyDescent="0.35">
      <c r="A20" t="s">
        <v>54</v>
      </c>
      <c r="B20" t="s">
        <v>55</v>
      </c>
      <c r="C20" t="s">
        <v>18</v>
      </c>
      <c r="D20">
        <v>1.0828181818181819</v>
      </c>
      <c r="E20">
        <v>11.911</v>
      </c>
      <c r="F20">
        <v>52.590000152587891</v>
      </c>
      <c r="G20">
        <v>48.509998321533203</v>
      </c>
      <c r="H20">
        <v>-4.0800018310546884</v>
      </c>
      <c r="I20">
        <v>7.8309981689453121</v>
      </c>
      <c r="J20">
        <v>0.78309981689453123</v>
      </c>
      <c r="K20">
        <v>11</v>
      </c>
      <c r="L20">
        <v>533.60998153686523</v>
      </c>
      <c r="M20">
        <v>3.915499084472656</v>
      </c>
      <c r="N20">
        <v>5.4140909090909091</v>
      </c>
      <c r="O20">
        <v>9.329589993563566</v>
      </c>
      <c r="P20" t="s">
        <v>19</v>
      </c>
    </row>
    <row r="21" spans="1:16" x14ac:dyDescent="0.35">
      <c r="A21" t="s">
        <v>56</v>
      </c>
      <c r="B21" t="s">
        <v>57</v>
      </c>
      <c r="C21" t="s">
        <v>18</v>
      </c>
      <c r="D21">
        <v>1.44</v>
      </c>
      <c r="E21">
        <v>15.84</v>
      </c>
      <c r="F21">
        <v>66.269996643066406</v>
      </c>
      <c r="G21">
        <v>36.459999084472663</v>
      </c>
      <c r="H21">
        <v>-29.80999755859375</v>
      </c>
      <c r="I21">
        <v>-13.96999755859375</v>
      </c>
      <c r="J21">
        <v>-1.396999755859375</v>
      </c>
      <c r="K21">
        <v>14</v>
      </c>
      <c r="L21">
        <v>510.43998718261719</v>
      </c>
      <c r="M21">
        <v>-6.9849987792968751</v>
      </c>
      <c r="N21">
        <v>7.1999999999999993</v>
      </c>
      <c r="O21">
        <v>0.21500122070312419</v>
      </c>
      <c r="P21" t="s">
        <v>19</v>
      </c>
    </row>
    <row r="22" spans="1:16" x14ac:dyDescent="0.35">
      <c r="A22" t="s">
        <v>58</v>
      </c>
      <c r="B22" t="s">
        <v>59</v>
      </c>
      <c r="C22" t="s">
        <v>18</v>
      </c>
      <c r="D22">
        <v>2.2183333333333328</v>
      </c>
      <c r="E22">
        <v>13.31</v>
      </c>
      <c r="G22">
        <v>23.719999313354489</v>
      </c>
      <c r="K22">
        <v>22</v>
      </c>
      <c r="L22">
        <v>521.83998489379883</v>
      </c>
      <c r="N22">
        <v>11.09166666666667</v>
      </c>
      <c r="P22" t="s">
        <v>19</v>
      </c>
    </row>
    <row r="23" spans="1:16" x14ac:dyDescent="0.35">
      <c r="E23">
        <v>19.117073476190473</v>
      </c>
    </row>
    <row r="24" spans="1:16" x14ac:dyDescent="0.35">
      <c r="A24" t="s">
        <v>60</v>
      </c>
      <c r="B24" t="s">
        <v>61</v>
      </c>
      <c r="C24" t="s">
        <v>62</v>
      </c>
      <c r="D24">
        <v>1.75</v>
      </c>
      <c r="E24">
        <v>19.25</v>
      </c>
      <c r="F24">
        <v>58.139999389648438</v>
      </c>
      <c r="G24">
        <v>354.19000244140631</v>
      </c>
      <c r="H24">
        <v>296.05000305175781</v>
      </c>
      <c r="I24">
        <v>315.30000305175781</v>
      </c>
      <c r="J24">
        <v>31.530000305175779</v>
      </c>
      <c r="K24">
        <v>2</v>
      </c>
      <c r="L24">
        <v>708.3800048828125</v>
      </c>
      <c r="M24">
        <v>157.65000152587891</v>
      </c>
      <c r="N24">
        <v>8.75</v>
      </c>
      <c r="O24">
        <v>166.40000152587891</v>
      </c>
      <c r="P24" t="s">
        <v>19</v>
      </c>
    </row>
    <row r="25" spans="1:16" x14ac:dyDescent="0.35">
      <c r="A25" t="s">
        <v>63</v>
      </c>
      <c r="B25" t="s">
        <v>64</v>
      </c>
      <c r="C25" t="s">
        <v>62</v>
      </c>
      <c r="D25">
        <v>3.7484000000000002</v>
      </c>
      <c r="E25">
        <v>37.484000000000002</v>
      </c>
      <c r="F25">
        <v>117.1999969482422</v>
      </c>
      <c r="G25">
        <v>196.08000183105469</v>
      </c>
      <c r="H25">
        <v>78.8800048828125</v>
      </c>
      <c r="I25">
        <v>116.36400488281249</v>
      </c>
      <c r="J25">
        <v>11.63640048828125</v>
      </c>
      <c r="K25">
        <v>3</v>
      </c>
      <c r="L25">
        <v>588.24000549316406</v>
      </c>
      <c r="M25">
        <v>58.182002441406247</v>
      </c>
      <c r="N25">
        <v>18.742000000000001</v>
      </c>
      <c r="O25">
        <v>76.924002441406259</v>
      </c>
      <c r="P25" t="s">
        <v>19</v>
      </c>
    </row>
    <row r="26" spans="1:16" x14ac:dyDescent="0.35">
      <c r="A26" t="s">
        <v>65</v>
      </c>
      <c r="B26" t="s">
        <v>66</v>
      </c>
      <c r="C26" t="s">
        <v>62</v>
      </c>
      <c r="D26">
        <v>0.93750049999999996</v>
      </c>
      <c r="E26">
        <v>7.5000039999999997</v>
      </c>
      <c r="F26">
        <v>33.911109924316413</v>
      </c>
      <c r="G26">
        <v>100.09999847412109</v>
      </c>
      <c r="H26">
        <v>66.188888549804688</v>
      </c>
      <c r="I26">
        <v>73.688892549804692</v>
      </c>
      <c r="J26">
        <v>7.368889254980469</v>
      </c>
      <c r="K26">
        <v>5</v>
      </c>
      <c r="L26">
        <v>500.49999237060553</v>
      </c>
      <c r="M26">
        <v>36.844446274902353</v>
      </c>
      <c r="N26">
        <v>4.6875024999999999</v>
      </c>
      <c r="O26">
        <v>41.531948774902347</v>
      </c>
      <c r="P26" t="s">
        <v>19</v>
      </c>
    </row>
    <row r="27" spans="1:16" x14ac:dyDescent="0.35">
      <c r="A27" t="s">
        <v>67</v>
      </c>
      <c r="B27" t="s">
        <v>68</v>
      </c>
      <c r="C27" t="s">
        <v>62</v>
      </c>
      <c r="D27">
        <v>1.924296545454546</v>
      </c>
      <c r="E27">
        <v>21.167262000000001</v>
      </c>
      <c r="F27">
        <v>81.520172119140625</v>
      </c>
      <c r="G27">
        <v>116.30999755859381</v>
      </c>
      <c r="H27">
        <v>34.789825439453132</v>
      </c>
      <c r="I27">
        <v>55.957087439453133</v>
      </c>
      <c r="J27">
        <v>5.5957087439453126</v>
      </c>
      <c r="K27">
        <v>5</v>
      </c>
      <c r="L27">
        <v>581.54998779296875</v>
      </c>
      <c r="M27">
        <v>27.978543719726559</v>
      </c>
      <c r="N27">
        <v>9.6214827272727277</v>
      </c>
      <c r="O27">
        <v>37.600026446999287</v>
      </c>
      <c r="P27" t="s">
        <v>19</v>
      </c>
    </row>
    <row r="28" spans="1:16" x14ac:dyDescent="0.35">
      <c r="A28" t="s">
        <v>69</v>
      </c>
      <c r="B28" t="s">
        <v>70</v>
      </c>
      <c r="C28" t="s">
        <v>62</v>
      </c>
      <c r="D28">
        <v>1.403636363636364</v>
      </c>
      <c r="E28">
        <v>15.44</v>
      </c>
      <c r="F28">
        <v>43.400001525878913</v>
      </c>
      <c r="G28">
        <v>62.200000762939453</v>
      </c>
      <c r="H28">
        <v>18.79999923706055</v>
      </c>
      <c r="I28">
        <v>34.239999237060537</v>
      </c>
      <c r="J28">
        <v>3.423999923706055</v>
      </c>
      <c r="K28">
        <v>9</v>
      </c>
      <c r="L28">
        <v>559.80000686645508</v>
      </c>
      <c r="M28">
        <v>17.119999618530269</v>
      </c>
      <c r="N28">
        <v>7.0181818181818176</v>
      </c>
      <c r="O28">
        <v>24.138181436712092</v>
      </c>
      <c r="P28" t="s">
        <v>19</v>
      </c>
    </row>
    <row r="29" spans="1:16" x14ac:dyDescent="0.35">
      <c r="A29" t="s">
        <v>71</v>
      </c>
      <c r="B29" t="s">
        <v>72</v>
      </c>
      <c r="C29" t="s">
        <v>62</v>
      </c>
      <c r="D29">
        <v>0.50488490909090911</v>
      </c>
      <c r="E29">
        <v>5.5537340000000004</v>
      </c>
      <c r="F29">
        <v>34.718311309814453</v>
      </c>
      <c r="G29">
        <v>56.139999389648438</v>
      </c>
      <c r="H29">
        <v>21.421688079833981</v>
      </c>
      <c r="I29">
        <v>26.975422079833979</v>
      </c>
      <c r="J29">
        <v>2.6975422079833979</v>
      </c>
      <c r="K29">
        <v>9</v>
      </c>
      <c r="L29">
        <v>505.25999450683588</v>
      </c>
      <c r="M29">
        <v>13.48771103991699</v>
      </c>
      <c r="N29">
        <v>2.5244245454545449</v>
      </c>
      <c r="O29">
        <v>16.012135585371539</v>
      </c>
      <c r="P29" t="s">
        <v>19</v>
      </c>
    </row>
    <row r="30" spans="1:16" x14ac:dyDescent="0.35">
      <c r="A30" t="s">
        <v>73</v>
      </c>
      <c r="B30" t="s">
        <v>74</v>
      </c>
      <c r="C30" t="s">
        <v>62</v>
      </c>
      <c r="D30">
        <v>2.2345454545454539</v>
      </c>
      <c r="E30">
        <v>24.58</v>
      </c>
      <c r="F30">
        <v>132.3699951171875</v>
      </c>
      <c r="G30">
        <v>129.7200012207031</v>
      </c>
      <c r="H30">
        <v>-2.649993896484375</v>
      </c>
      <c r="I30">
        <v>21.93000610351562</v>
      </c>
      <c r="J30">
        <v>2.1930006103515618</v>
      </c>
      <c r="K30">
        <v>4</v>
      </c>
      <c r="L30">
        <v>518.8800048828125</v>
      </c>
      <c r="M30">
        <v>10.96500305175781</v>
      </c>
      <c r="N30">
        <v>11.17272727272727</v>
      </c>
      <c r="O30">
        <v>22.13773032448508</v>
      </c>
      <c r="P30" t="s">
        <v>19</v>
      </c>
    </row>
    <row r="31" spans="1:16" x14ac:dyDescent="0.35">
      <c r="A31" t="s">
        <v>75</v>
      </c>
      <c r="B31" t="s">
        <v>76</v>
      </c>
      <c r="C31" t="s">
        <v>62</v>
      </c>
      <c r="D31">
        <v>1.45305</v>
      </c>
      <c r="E31">
        <v>14.5305</v>
      </c>
      <c r="F31">
        <v>18.58749961853027</v>
      </c>
      <c r="G31">
        <v>14.63000011444092</v>
      </c>
      <c r="H31">
        <v>-3.957499504089355</v>
      </c>
      <c r="I31">
        <v>10.573000495910639</v>
      </c>
      <c r="J31">
        <v>1.0573000495910641</v>
      </c>
      <c r="K31">
        <v>35</v>
      </c>
      <c r="L31">
        <v>512.05000400543213</v>
      </c>
      <c r="M31">
        <v>5.2865002479553223</v>
      </c>
      <c r="N31">
        <v>7.26525</v>
      </c>
      <c r="O31">
        <v>12.55175024795532</v>
      </c>
      <c r="P31" t="s">
        <v>19</v>
      </c>
    </row>
    <row r="32" spans="1:16" x14ac:dyDescent="0.35">
      <c r="A32" t="s">
        <v>77</v>
      </c>
      <c r="B32" t="s">
        <v>78</v>
      </c>
      <c r="C32" t="s">
        <v>62</v>
      </c>
      <c r="D32">
        <v>0.41454545454545461</v>
      </c>
      <c r="E32">
        <v>4.5599999999999996</v>
      </c>
      <c r="F32">
        <v>19.690000534057621</v>
      </c>
      <c r="G32">
        <v>23.030000686645511</v>
      </c>
      <c r="H32">
        <v>3.3400001525878911</v>
      </c>
      <c r="I32">
        <v>7.9000001525878902</v>
      </c>
      <c r="J32">
        <v>0.79000001525878905</v>
      </c>
      <c r="K32">
        <v>22</v>
      </c>
      <c r="L32">
        <v>506.66001510620117</v>
      </c>
      <c r="M32">
        <v>3.9500000762939451</v>
      </c>
      <c r="N32">
        <v>2.0727272727272732</v>
      </c>
      <c r="O32">
        <v>6.0227273490212179</v>
      </c>
      <c r="P32" t="s">
        <v>19</v>
      </c>
    </row>
    <row r="33" spans="1:16" x14ac:dyDescent="0.35">
      <c r="A33" t="s">
        <v>79</v>
      </c>
      <c r="B33" t="s">
        <v>80</v>
      </c>
      <c r="C33" t="s">
        <v>62</v>
      </c>
      <c r="D33">
        <v>0.78520000000000001</v>
      </c>
      <c r="E33">
        <v>7.8520000000000003</v>
      </c>
      <c r="F33">
        <v>29.190000534057621</v>
      </c>
      <c r="G33">
        <v>24.479999542236332</v>
      </c>
      <c r="H33">
        <v>-4.7100009918212891</v>
      </c>
      <c r="I33">
        <v>3.1419990081787108</v>
      </c>
      <c r="J33">
        <v>0.31419990081787108</v>
      </c>
      <c r="K33">
        <v>21</v>
      </c>
      <c r="L33">
        <v>514.07999038696289</v>
      </c>
      <c r="M33">
        <v>1.5709995040893561</v>
      </c>
      <c r="N33">
        <v>3.9260000000000002</v>
      </c>
      <c r="O33">
        <v>5.4969995040893558</v>
      </c>
      <c r="P33" t="s">
        <v>19</v>
      </c>
    </row>
    <row r="34" spans="1:16" x14ac:dyDescent="0.35">
      <c r="A34" t="s">
        <v>81</v>
      </c>
      <c r="B34" t="s">
        <v>82</v>
      </c>
      <c r="C34" t="s">
        <v>62</v>
      </c>
      <c r="D34">
        <v>1.5363636363636359</v>
      </c>
      <c r="E34">
        <v>16.899999999999999</v>
      </c>
      <c r="F34">
        <v>100.0500030517578</v>
      </c>
      <c r="G34">
        <v>78.80999755859375</v>
      </c>
      <c r="H34">
        <v>-21.240005493164059</v>
      </c>
      <c r="I34">
        <v>-4.3400054931640639</v>
      </c>
      <c r="J34">
        <v>-0.43400054931640641</v>
      </c>
      <c r="K34">
        <v>7</v>
      </c>
      <c r="L34">
        <v>551.66998291015625</v>
      </c>
      <c r="M34">
        <v>-2.170002746582032</v>
      </c>
      <c r="N34">
        <v>7.6818181818181817</v>
      </c>
      <c r="O34">
        <v>5.5118154352361497</v>
      </c>
      <c r="P34" t="s">
        <v>19</v>
      </c>
    </row>
    <row r="35" spans="1:16" x14ac:dyDescent="0.35">
      <c r="E35">
        <f>AVERAGE(E24:E34)</f>
        <v>15.8925</v>
      </c>
    </row>
    <row r="36" spans="1:16" x14ac:dyDescent="0.35">
      <c r="A36" t="s">
        <v>83</v>
      </c>
      <c r="B36" t="s">
        <v>84</v>
      </c>
      <c r="C36" t="s">
        <v>85</v>
      </c>
      <c r="D36">
        <v>1.712636363636364</v>
      </c>
      <c r="E36">
        <v>18.838999999999999</v>
      </c>
      <c r="F36">
        <v>38.509998321533203</v>
      </c>
      <c r="G36">
        <v>55.630001068115227</v>
      </c>
      <c r="H36">
        <v>17.120002746582031</v>
      </c>
      <c r="I36">
        <v>35.95900274658203</v>
      </c>
      <c r="J36">
        <v>3.5959002746582032</v>
      </c>
      <c r="K36">
        <v>9</v>
      </c>
      <c r="L36">
        <v>500.67000961303711</v>
      </c>
      <c r="M36">
        <v>17.979501373291011</v>
      </c>
      <c r="N36">
        <v>8.5631818181818193</v>
      </c>
      <c r="O36">
        <v>26.542683191472829</v>
      </c>
      <c r="P36" t="s">
        <v>19</v>
      </c>
    </row>
    <row r="37" spans="1:16" x14ac:dyDescent="0.35">
      <c r="A37" t="s">
        <v>86</v>
      </c>
      <c r="B37" t="s">
        <v>87</v>
      </c>
      <c r="C37" t="s">
        <v>85</v>
      </c>
      <c r="D37">
        <v>2.107272727272727</v>
      </c>
      <c r="E37">
        <v>23.18</v>
      </c>
      <c r="F37">
        <v>71.230003356933594</v>
      </c>
      <c r="G37">
        <v>83.790000915527344</v>
      </c>
      <c r="H37">
        <v>12.55999755859375</v>
      </c>
      <c r="I37">
        <v>35.73999755859375</v>
      </c>
      <c r="J37">
        <v>3.5739997558593748</v>
      </c>
      <c r="K37">
        <v>6</v>
      </c>
      <c r="L37">
        <v>502.74000549316412</v>
      </c>
      <c r="M37">
        <v>17.869998779296871</v>
      </c>
      <c r="N37">
        <v>10.536363636363641</v>
      </c>
      <c r="O37">
        <v>28.40636241566051</v>
      </c>
      <c r="P37" t="s">
        <v>19</v>
      </c>
    </row>
    <row r="38" spans="1:16" x14ac:dyDescent="0.35">
      <c r="A38" t="s">
        <v>88</v>
      </c>
      <c r="B38" t="s">
        <v>89</v>
      </c>
      <c r="C38" t="s">
        <v>85</v>
      </c>
      <c r="D38">
        <v>0.87568181818181823</v>
      </c>
      <c r="E38">
        <v>9.6325000000000003</v>
      </c>
      <c r="F38">
        <v>17.930000305175781</v>
      </c>
      <c r="G38">
        <v>38.520000457763672</v>
      </c>
      <c r="H38">
        <v>20.590000152587891</v>
      </c>
      <c r="I38">
        <v>30.222500152587891</v>
      </c>
      <c r="J38">
        <v>3.022250015258789</v>
      </c>
      <c r="K38">
        <v>13</v>
      </c>
      <c r="L38">
        <v>500.76000595092768</v>
      </c>
      <c r="M38">
        <v>15.111250076293951</v>
      </c>
      <c r="N38">
        <v>4.3784090909090914</v>
      </c>
      <c r="O38">
        <v>19.48965916720304</v>
      </c>
      <c r="P38" t="s">
        <v>19</v>
      </c>
    </row>
    <row r="39" spans="1:16" x14ac:dyDescent="0.35">
      <c r="A39" t="s">
        <v>90</v>
      </c>
      <c r="B39" t="s">
        <v>91</v>
      </c>
      <c r="C39" t="s">
        <v>85</v>
      </c>
      <c r="D39">
        <v>1.8662000000000001</v>
      </c>
      <c r="E39">
        <v>18.661999999999999</v>
      </c>
      <c r="F39">
        <v>40.439998626708977</v>
      </c>
      <c r="G39">
        <v>47.529998779296882</v>
      </c>
      <c r="H39">
        <v>7.0900001525878906</v>
      </c>
      <c r="I39">
        <v>25.75200015258789</v>
      </c>
      <c r="J39">
        <v>2.5752000152587891</v>
      </c>
      <c r="K39">
        <v>11</v>
      </c>
      <c r="L39">
        <v>522.82998657226563</v>
      </c>
      <c r="M39">
        <v>12.87600007629394</v>
      </c>
      <c r="N39">
        <v>9.3309999999999995</v>
      </c>
      <c r="O39">
        <v>22.207000076293941</v>
      </c>
      <c r="P39" t="s">
        <v>19</v>
      </c>
    </row>
    <row r="40" spans="1:16" x14ac:dyDescent="0.35">
      <c r="A40" t="s">
        <v>92</v>
      </c>
      <c r="B40" t="s">
        <v>93</v>
      </c>
      <c r="C40" t="s">
        <v>85</v>
      </c>
      <c r="D40">
        <v>2.0109090909090912</v>
      </c>
      <c r="E40">
        <v>22.12</v>
      </c>
      <c r="F40">
        <v>78.910003662109375</v>
      </c>
      <c r="G40">
        <v>78.860000610351563</v>
      </c>
      <c r="H40">
        <v>-5.00030517578125E-2</v>
      </c>
      <c r="I40">
        <v>22.069996948242188</v>
      </c>
      <c r="J40">
        <v>2.2069996948242192</v>
      </c>
      <c r="K40">
        <v>7</v>
      </c>
      <c r="L40">
        <v>552.02000427246094</v>
      </c>
      <c r="M40">
        <v>11.034998474121091</v>
      </c>
      <c r="N40">
        <v>10.054545454545449</v>
      </c>
      <c r="O40">
        <v>21.089543928666551</v>
      </c>
      <c r="P40" t="s">
        <v>19</v>
      </c>
    </row>
    <row r="41" spans="1:16" x14ac:dyDescent="0.35">
      <c r="A41" t="s">
        <v>94</v>
      </c>
      <c r="B41" t="s">
        <v>95</v>
      </c>
      <c r="C41" t="s">
        <v>85</v>
      </c>
      <c r="D41">
        <v>1.8090909090909091</v>
      </c>
      <c r="E41">
        <v>19.899999999999999</v>
      </c>
      <c r="F41">
        <v>58.439998626708977</v>
      </c>
      <c r="G41">
        <v>59.020000457763672</v>
      </c>
      <c r="H41">
        <v>0.5800018310546875</v>
      </c>
      <c r="I41">
        <v>20.48000183105469</v>
      </c>
      <c r="J41">
        <v>2.0480001831054691</v>
      </c>
      <c r="K41">
        <v>9</v>
      </c>
      <c r="L41">
        <v>531.18000411987305</v>
      </c>
      <c r="M41">
        <v>10.240000915527339</v>
      </c>
      <c r="N41">
        <v>9.045454545454545</v>
      </c>
      <c r="O41">
        <v>19.28545546098189</v>
      </c>
      <c r="P41" t="s">
        <v>19</v>
      </c>
    </row>
    <row r="42" spans="1:16" x14ac:dyDescent="0.35">
      <c r="A42" t="s">
        <v>96</v>
      </c>
      <c r="B42" t="s">
        <v>97</v>
      </c>
      <c r="C42" t="s">
        <v>85</v>
      </c>
      <c r="D42">
        <v>1.3451801818181821</v>
      </c>
      <c r="E42">
        <v>14.796982</v>
      </c>
      <c r="F42">
        <v>30.815938949584961</v>
      </c>
      <c r="G42">
        <v>26.670000076293949</v>
      </c>
      <c r="H42">
        <v>-4.1459388732910156</v>
      </c>
      <c r="I42">
        <v>10.651043126708981</v>
      </c>
      <c r="J42">
        <v>1.0651043126708979</v>
      </c>
      <c r="K42">
        <v>19</v>
      </c>
      <c r="L42">
        <v>506.73000144958502</v>
      </c>
      <c r="M42">
        <v>5.3255215633544921</v>
      </c>
      <c r="N42">
        <v>6.7259009090909094</v>
      </c>
      <c r="O42">
        <v>12.051422472445401</v>
      </c>
      <c r="P42" t="s">
        <v>19</v>
      </c>
    </row>
    <row r="43" spans="1:16" x14ac:dyDescent="0.35">
      <c r="A43" t="s">
        <v>98</v>
      </c>
      <c r="B43" t="s">
        <v>99</v>
      </c>
      <c r="C43" t="s">
        <v>85</v>
      </c>
      <c r="D43">
        <v>0.52127272727272722</v>
      </c>
      <c r="E43">
        <v>5.734</v>
      </c>
      <c r="F43">
        <v>15.35999965667725</v>
      </c>
      <c r="G43">
        <v>14.27000045776367</v>
      </c>
      <c r="H43">
        <v>-1.089999198913574</v>
      </c>
      <c r="I43">
        <v>4.6440008010864258</v>
      </c>
      <c r="J43">
        <v>0.46440008010864259</v>
      </c>
      <c r="K43">
        <v>36</v>
      </c>
      <c r="L43">
        <v>513.72001647949219</v>
      </c>
      <c r="M43">
        <v>2.3220004005432129</v>
      </c>
      <c r="N43">
        <v>2.606363636363636</v>
      </c>
      <c r="O43">
        <v>4.9283640369068493</v>
      </c>
      <c r="P43" t="s">
        <v>19</v>
      </c>
    </row>
    <row r="44" spans="1:16" x14ac:dyDescent="0.35">
      <c r="A44" t="s">
        <v>100</v>
      </c>
      <c r="B44" t="s">
        <v>101</v>
      </c>
      <c r="C44" t="s">
        <v>85</v>
      </c>
      <c r="D44">
        <v>0.95171428571428573</v>
      </c>
      <c r="E44">
        <v>6.6619999999999999</v>
      </c>
      <c r="F44">
        <v>30.569999694824219</v>
      </c>
      <c r="G44">
        <v>27.629999160766602</v>
      </c>
      <c r="H44">
        <v>-2.9400005340576172</v>
      </c>
      <c r="I44">
        <v>3.7219994659423832</v>
      </c>
      <c r="J44">
        <v>0.37219994659423827</v>
      </c>
      <c r="K44">
        <v>19</v>
      </c>
      <c r="L44">
        <v>524.96998405456543</v>
      </c>
      <c r="M44">
        <v>1.8609997329711909</v>
      </c>
      <c r="N44">
        <v>4.7585714285714289</v>
      </c>
      <c r="O44">
        <v>6.6195711615426198</v>
      </c>
      <c r="P44" t="s">
        <v>19</v>
      </c>
    </row>
    <row r="45" spans="1:16" x14ac:dyDescent="0.35">
      <c r="A45" t="s">
        <v>102</v>
      </c>
      <c r="B45" t="s">
        <v>103</v>
      </c>
      <c r="C45" t="s">
        <v>85</v>
      </c>
      <c r="D45">
        <v>0.25785714285714278</v>
      </c>
      <c r="E45">
        <v>1.8049999999999999</v>
      </c>
      <c r="F45">
        <v>6.7300000190734863</v>
      </c>
      <c r="G45">
        <v>6.4600000381469727</v>
      </c>
      <c r="H45">
        <v>-0.26999998092651373</v>
      </c>
      <c r="I45">
        <v>1.535000019073486</v>
      </c>
      <c r="J45">
        <v>0.15350000190734861</v>
      </c>
      <c r="K45">
        <v>78</v>
      </c>
      <c r="L45">
        <v>503.88000297546392</v>
      </c>
      <c r="M45">
        <v>0.76750000953674324</v>
      </c>
      <c r="N45">
        <v>1.2892857142857139</v>
      </c>
      <c r="O45">
        <v>2.0567857238224581</v>
      </c>
      <c r="P45" t="s">
        <v>19</v>
      </c>
    </row>
    <row r="46" spans="1:16" x14ac:dyDescent="0.35">
      <c r="A46" t="s">
        <v>104</v>
      </c>
      <c r="B46" t="s">
        <v>105</v>
      </c>
      <c r="C46" t="s">
        <v>85</v>
      </c>
      <c r="D46">
        <v>0.47849999999999998</v>
      </c>
      <c r="E46">
        <v>0.95700000000000007</v>
      </c>
      <c r="F46">
        <v>20.780000686645511</v>
      </c>
      <c r="G46">
        <v>16.64999961853027</v>
      </c>
      <c r="H46">
        <v>-4.1300010681152344</v>
      </c>
      <c r="I46">
        <v>-3.173001068115235</v>
      </c>
      <c r="J46">
        <v>-0.31730010681152337</v>
      </c>
      <c r="K46">
        <v>31</v>
      </c>
      <c r="L46">
        <v>516.14998817443848</v>
      </c>
      <c r="M46">
        <v>-1.586500534057617</v>
      </c>
      <c r="N46">
        <v>2.3925000000000001</v>
      </c>
      <c r="O46">
        <v>0.80599946594238281</v>
      </c>
      <c r="P46" t="s">
        <v>19</v>
      </c>
    </row>
    <row r="47" spans="1:16" x14ac:dyDescent="0.35">
      <c r="A47" t="s">
        <v>106</v>
      </c>
      <c r="B47" t="s">
        <v>107</v>
      </c>
      <c r="C47" t="s">
        <v>85</v>
      </c>
      <c r="D47">
        <v>0.65579999999999994</v>
      </c>
      <c r="E47">
        <v>6.5579999999999998</v>
      </c>
      <c r="F47">
        <v>42.209999084472663</v>
      </c>
      <c r="G47">
        <v>22.739999771118161</v>
      </c>
      <c r="H47">
        <v>-19.469999313354489</v>
      </c>
      <c r="I47">
        <v>-12.911999313354491</v>
      </c>
      <c r="J47">
        <v>-1.291199931335449</v>
      </c>
      <c r="K47">
        <v>22</v>
      </c>
      <c r="L47">
        <v>500.27999496459961</v>
      </c>
      <c r="M47">
        <v>-6.4559996566772462</v>
      </c>
      <c r="N47">
        <v>3.2789999999999999</v>
      </c>
      <c r="O47">
        <v>-3.1769996566772458</v>
      </c>
      <c r="P47" t="s">
        <v>19</v>
      </c>
    </row>
    <row r="48" spans="1:16" x14ac:dyDescent="0.35">
      <c r="E48">
        <f>AVERAGE(E36:E47)</f>
        <v>12.403873500000001</v>
      </c>
    </row>
    <row r="49" spans="1:16" x14ac:dyDescent="0.35">
      <c r="A49" t="s">
        <v>108</v>
      </c>
      <c r="B49" t="s">
        <v>109</v>
      </c>
      <c r="C49" t="s">
        <v>110</v>
      </c>
      <c r="D49">
        <v>3.2109090909090909</v>
      </c>
      <c r="E49">
        <v>35.32</v>
      </c>
      <c r="F49">
        <v>63.299999237060547</v>
      </c>
      <c r="G49">
        <v>204.82000732421881</v>
      </c>
      <c r="H49">
        <v>141.5200080871582</v>
      </c>
      <c r="I49">
        <v>176.8400080871582</v>
      </c>
      <c r="J49">
        <v>17.684000808715819</v>
      </c>
      <c r="K49">
        <v>3</v>
      </c>
      <c r="L49">
        <v>614.46002197265625</v>
      </c>
      <c r="M49">
        <v>88.420004043579098</v>
      </c>
      <c r="N49">
        <v>16.054545454545451</v>
      </c>
      <c r="O49">
        <v>104.4745494981246</v>
      </c>
      <c r="P49" t="s">
        <v>19</v>
      </c>
    </row>
    <row r="50" spans="1:16" x14ac:dyDescent="0.35">
      <c r="A50" t="s">
        <v>111</v>
      </c>
      <c r="B50" t="s">
        <v>112</v>
      </c>
      <c r="C50" t="s">
        <v>110</v>
      </c>
      <c r="D50">
        <v>2.4540999999999999</v>
      </c>
      <c r="E50">
        <v>24.541</v>
      </c>
      <c r="F50">
        <v>44.740001678466797</v>
      </c>
      <c r="G50">
        <v>84.470001220703125</v>
      </c>
      <c r="H50">
        <v>39.729999542236328</v>
      </c>
      <c r="I50">
        <v>64.270999542236325</v>
      </c>
      <c r="J50">
        <v>6.4270999542236327</v>
      </c>
      <c r="K50">
        <v>6</v>
      </c>
      <c r="L50">
        <v>506.82000732421881</v>
      </c>
      <c r="M50">
        <v>32.135499771118162</v>
      </c>
      <c r="N50">
        <v>12.2705</v>
      </c>
      <c r="O50">
        <v>44.405999771118161</v>
      </c>
      <c r="P50" t="s">
        <v>19</v>
      </c>
    </row>
    <row r="51" spans="1:16" x14ac:dyDescent="0.35">
      <c r="A51" t="s">
        <v>113</v>
      </c>
      <c r="B51" t="s">
        <v>114</v>
      </c>
      <c r="C51" t="s">
        <v>110</v>
      </c>
      <c r="D51">
        <v>4.299850666666666</v>
      </c>
      <c r="E51">
        <v>25.799104</v>
      </c>
      <c r="F51">
        <v>34.431629180908203</v>
      </c>
      <c r="G51">
        <v>37.959999084472663</v>
      </c>
      <c r="H51">
        <v>3.5283699035644531</v>
      </c>
      <c r="I51">
        <v>29.327473903564449</v>
      </c>
      <c r="J51">
        <v>2.9327473903564449</v>
      </c>
      <c r="K51">
        <v>14</v>
      </c>
      <c r="L51">
        <v>531.43998718261719</v>
      </c>
      <c r="M51">
        <v>14.663736951782219</v>
      </c>
      <c r="N51">
        <v>21.499253333333328</v>
      </c>
      <c r="O51">
        <v>36.162990285115548</v>
      </c>
      <c r="P51" t="s">
        <v>19</v>
      </c>
    </row>
    <row r="52" spans="1:16" x14ac:dyDescent="0.35">
      <c r="A52" t="s">
        <v>115</v>
      </c>
      <c r="B52" t="s">
        <v>116</v>
      </c>
      <c r="C52" t="s">
        <v>110</v>
      </c>
      <c r="D52">
        <v>1.5572999999999999</v>
      </c>
      <c r="E52">
        <v>15.573</v>
      </c>
      <c r="F52">
        <v>31.54999923706055</v>
      </c>
      <c r="G52">
        <v>43.180000305175781</v>
      </c>
      <c r="H52">
        <v>11.630001068115231</v>
      </c>
      <c r="I52">
        <v>27.203001068115231</v>
      </c>
      <c r="J52">
        <v>2.720300106811524</v>
      </c>
      <c r="K52">
        <v>12</v>
      </c>
      <c r="L52">
        <v>518.16000366210938</v>
      </c>
      <c r="M52">
        <v>13.601500534057619</v>
      </c>
      <c r="N52">
        <v>7.7864999999999993</v>
      </c>
      <c r="O52">
        <v>21.388000534057621</v>
      </c>
      <c r="P52" t="s">
        <v>19</v>
      </c>
    </row>
    <row r="53" spans="1:16" x14ac:dyDescent="0.35">
      <c r="A53" t="s">
        <v>117</v>
      </c>
      <c r="B53" t="s">
        <v>118</v>
      </c>
      <c r="C53" t="s">
        <v>110</v>
      </c>
      <c r="D53">
        <v>2.2957272727272731</v>
      </c>
      <c r="E53">
        <v>25.253</v>
      </c>
      <c r="F53">
        <v>53.380001068115227</v>
      </c>
      <c r="G53">
        <v>47.220001220703132</v>
      </c>
      <c r="H53">
        <v>-6.1599998474121094</v>
      </c>
      <c r="I53">
        <v>19.093000152587891</v>
      </c>
      <c r="J53">
        <v>1.9093000152587889</v>
      </c>
      <c r="K53">
        <v>11</v>
      </c>
      <c r="L53">
        <v>519.42001342773438</v>
      </c>
      <c r="M53">
        <v>9.5465000762939454</v>
      </c>
      <c r="N53">
        <v>11.47863636363636</v>
      </c>
      <c r="O53">
        <v>21.025136439930311</v>
      </c>
      <c r="P53" t="s">
        <v>19</v>
      </c>
    </row>
    <row r="54" spans="1:16" x14ac:dyDescent="0.35">
      <c r="A54" t="s">
        <v>119</v>
      </c>
      <c r="B54" t="s">
        <v>120</v>
      </c>
      <c r="C54" t="s">
        <v>110</v>
      </c>
      <c r="D54">
        <v>1.3260000000000001</v>
      </c>
      <c r="E54">
        <v>14.586</v>
      </c>
      <c r="F54">
        <v>38.580001831054688</v>
      </c>
      <c r="G54">
        <v>37.349998474121087</v>
      </c>
      <c r="H54">
        <v>-1.230003356933594</v>
      </c>
      <c r="I54">
        <v>13.35599664306641</v>
      </c>
      <c r="J54">
        <v>1.335599664306641</v>
      </c>
      <c r="K54">
        <v>14</v>
      </c>
      <c r="L54">
        <v>522.89997863769531</v>
      </c>
      <c r="M54">
        <v>6.6779983215332024</v>
      </c>
      <c r="N54">
        <v>6.6300000000000008</v>
      </c>
      <c r="O54">
        <v>13.3079983215332</v>
      </c>
      <c r="P54" t="s">
        <v>19</v>
      </c>
    </row>
    <row r="55" spans="1:16" x14ac:dyDescent="0.35">
      <c r="A55" t="s">
        <v>121</v>
      </c>
      <c r="B55" t="s">
        <v>122</v>
      </c>
      <c r="C55" t="s">
        <v>110</v>
      </c>
      <c r="D55">
        <v>1.0067999999999999</v>
      </c>
      <c r="E55">
        <v>10.068</v>
      </c>
      <c r="F55">
        <v>14.920000076293951</v>
      </c>
      <c r="G55">
        <v>17.45000076293945</v>
      </c>
      <c r="H55">
        <v>2.5300006866455078</v>
      </c>
      <c r="I55">
        <v>12.598000686645509</v>
      </c>
      <c r="J55">
        <v>1.259800068664551</v>
      </c>
      <c r="K55">
        <v>29</v>
      </c>
      <c r="L55">
        <v>506.05002212524408</v>
      </c>
      <c r="M55">
        <v>6.2990003433227537</v>
      </c>
      <c r="N55">
        <v>5.0340000000000007</v>
      </c>
      <c r="O55">
        <v>11.333000343322761</v>
      </c>
      <c r="P55" t="s">
        <v>19</v>
      </c>
    </row>
    <row r="56" spans="1:16" x14ac:dyDescent="0.35">
      <c r="A56" t="s">
        <v>123</v>
      </c>
      <c r="B56" t="s">
        <v>124</v>
      </c>
      <c r="C56" t="s">
        <v>110</v>
      </c>
      <c r="D56">
        <v>0.64849999999999997</v>
      </c>
      <c r="E56">
        <v>6.4850000000000003</v>
      </c>
      <c r="F56">
        <v>17.20000076293945</v>
      </c>
      <c r="G56">
        <v>22.510000228881839</v>
      </c>
      <c r="H56">
        <v>5.3099994659423828</v>
      </c>
      <c r="I56">
        <v>11.79499946594238</v>
      </c>
      <c r="J56">
        <v>1.179499946594238</v>
      </c>
      <c r="K56">
        <v>23</v>
      </c>
      <c r="L56">
        <v>517.73000526428223</v>
      </c>
      <c r="M56">
        <v>5.8974997329711911</v>
      </c>
      <c r="N56">
        <v>3.2425000000000002</v>
      </c>
      <c r="O56">
        <v>9.1399997329711908</v>
      </c>
      <c r="P56" t="s">
        <v>19</v>
      </c>
    </row>
    <row r="57" spans="1:16" x14ac:dyDescent="0.35">
      <c r="A57" t="s">
        <v>125</v>
      </c>
      <c r="B57" t="s">
        <v>126</v>
      </c>
      <c r="C57" t="s">
        <v>110</v>
      </c>
      <c r="D57">
        <v>1.4878181818181819</v>
      </c>
      <c r="E57">
        <v>16.366</v>
      </c>
      <c r="F57">
        <v>32.122356414794922</v>
      </c>
      <c r="G57">
        <v>26.610000610351559</v>
      </c>
      <c r="H57">
        <v>-5.5123558044433594</v>
      </c>
      <c r="I57">
        <v>10.85364419555664</v>
      </c>
      <c r="J57">
        <v>1.085364419555664</v>
      </c>
      <c r="K57">
        <v>19</v>
      </c>
      <c r="L57">
        <v>505.59001159667969</v>
      </c>
      <c r="M57">
        <v>5.4268220977783201</v>
      </c>
      <c r="N57">
        <v>7.4390909090909094</v>
      </c>
      <c r="O57">
        <v>12.86591300686923</v>
      </c>
      <c r="P57" t="s">
        <v>19</v>
      </c>
    </row>
    <row r="58" spans="1:16" x14ac:dyDescent="0.35">
      <c r="A58" t="s">
        <v>127</v>
      </c>
      <c r="B58" t="s">
        <v>128</v>
      </c>
      <c r="C58" t="s">
        <v>110</v>
      </c>
      <c r="D58">
        <v>0.64574999999999994</v>
      </c>
      <c r="E58">
        <v>2.5830000000000002</v>
      </c>
      <c r="F58">
        <v>14.090000152587891</v>
      </c>
      <c r="G58">
        <v>21.690000534057621</v>
      </c>
      <c r="H58">
        <v>7.6000003814697266</v>
      </c>
      <c r="I58">
        <v>10.18300038146973</v>
      </c>
      <c r="J58">
        <v>1.0183000381469729</v>
      </c>
      <c r="K58">
        <v>24</v>
      </c>
      <c r="L58">
        <v>520.56001281738281</v>
      </c>
      <c r="M58">
        <v>5.0915001907348634</v>
      </c>
      <c r="N58">
        <v>3.2287499999999998</v>
      </c>
      <c r="O58">
        <v>8.320250190734864</v>
      </c>
      <c r="P58" t="s">
        <v>19</v>
      </c>
    </row>
    <row r="59" spans="1:16" x14ac:dyDescent="0.35">
      <c r="A59" t="s">
        <v>129</v>
      </c>
      <c r="B59" t="s">
        <v>130</v>
      </c>
      <c r="C59" t="s">
        <v>110</v>
      </c>
      <c r="D59">
        <v>1.372727272727273</v>
      </c>
      <c r="E59">
        <v>15.1</v>
      </c>
      <c r="F59">
        <v>27.54999923706055</v>
      </c>
      <c r="G59">
        <v>20.989999771118161</v>
      </c>
      <c r="H59">
        <v>-6.5599994659423828</v>
      </c>
      <c r="I59">
        <v>8.5400005340576168</v>
      </c>
      <c r="J59">
        <v>0.85400005340576168</v>
      </c>
      <c r="K59">
        <v>24</v>
      </c>
      <c r="L59">
        <v>503.75999450683588</v>
      </c>
      <c r="M59">
        <v>4.2700002670288084</v>
      </c>
      <c r="N59">
        <v>6.8636363636363642</v>
      </c>
      <c r="O59">
        <v>11.133636630665171</v>
      </c>
      <c r="P59" t="s">
        <v>19</v>
      </c>
    </row>
    <row r="60" spans="1:16" x14ac:dyDescent="0.35">
      <c r="A60" t="s">
        <v>131</v>
      </c>
      <c r="B60" t="s">
        <v>132</v>
      </c>
      <c r="C60" t="s">
        <v>110</v>
      </c>
      <c r="D60">
        <v>0.82974509090909088</v>
      </c>
      <c r="E60">
        <v>9.1271959999999996</v>
      </c>
      <c r="F60">
        <v>32.357074737548828</v>
      </c>
      <c r="G60">
        <v>31.639999389648441</v>
      </c>
      <c r="H60">
        <v>-0.71707534790039063</v>
      </c>
      <c r="I60">
        <v>8.410120652099609</v>
      </c>
      <c r="J60">
        <v>0.84101206520996086</v>
      </c>
      <c r="K60">
        <v>16</v>
      </c>
      <c r="L60">
        <v>506.239990234375</v>
      </c>
      <c r="M60">
        <v>4.2050603260498054</v>
      </c>
      <c r="N60">
        <v>4.1487254545454544</v>
      </c>
      <c r="O60">
        <v>8.3537857805952598</v>
      </c>
      <c r="P60" t="s">
        <v>19</v>
      </c>
    </row>
    <row r="61" spans="1:16" x14ac:dyDescent="0.35">
      <c r="A61" t="s">
        <v>133</v>
      </c>
      <c r="B61" t="s">
        <v>134</v>
      </c>
      <c r="C61" t="s">
        <v>110</v>
      </c>
      <c r="D61">
        <v>0.61618181818181816</v>
      </c>
      <c r="E61">
        <v>6.7779999999999996</v>
      </c>
      <c r="F61">
        <v>18.260000228881839</v>
      </c>
      <c r="G61">
        <v>19.04999923706055</v>
      </c>
      <c r="H61">
        <v>0.78999900817871094</v>
      </c>
      <c r="I61">
        <v>7.5679990081787114</v>
      </c>
      <c r="J61">
        <v>0.75679990081787107</v>
      </c>
      <c r="K61">
        <v>27</v>
      </c>
      <c r="L61">
        <v>514.34997940063477</v>
      </c>
      <c r="M61">
        <v>3.7839995040893548</v>
      </c>
      <c r="N61">
        <v>3.080909090909091</v>
      </c>
      <c r="O61">
        <v>6.8649085949984467</v>
      </c>
      <c r="P61" t="s">
        <v>19</v>
      </c>
    </row>
    <row r="62" spans="1:16" x14ac:dyDescent="0.35">
      <c r="A62" t="s">
        <v>135</v>
      </c>
      <c r="B62" t="s">
        <v>136</v>
      </c>
      <c r="C62" t="s">
        <v>110</v>
      </c>
      <c r="D62">
        <v>2.1611818181818179</v>
      </c>
      <c r="E62">
        <v>23.773</v>
      </c>
      <c r="F62">
        <v>43.240001678466797</v>
      </c>
      <c r="G62">
        <v>24.10000038146973</v>
      </c>
      <c r="H62">
        <v>-19.14000129699707</v>
      </c>
      <c r="I62">
        <v>4.6329987030029294</v>
      </c>
      <c r="J62">
        <v>0.46329987030029302</v>
      </c>
      <c r="K62">
        <v>21</v>
      </c>
      <c r="L62">
        <v>506.10000801086431</v>
      </c>
      <c r="M62">
        <v>2.3164993515014651</v>
      </c>
      <c r="N62">
        <v>10.80590909090909</v>
      </c>
      <c r="O62">
        <v>13.12240844241056</v>
      </c>
      <c r="P62" t="s">
        <v>19</v>
      </c>
    </row>
    <row r="63" spans="1:16" x14ac:dyDescent="0.35">
      <c r="A63" t="s">
        <v>137</v>
      </c>
      <c r="B63" t="s">
        <v>138</v>
      </c>
      <c r="C63" t="s">
        <v>110</v>
      </c>
      <c r="D63">
        <v>1.0907500000000001</v>
      </c>
      <c r="E63">
        <v>10.907500000000001</v>
      </c>
      <c r="F63">
        <v>29.159999847412109</v>
      </c>
      <c r="G63">
        <v>17.219999313354489</v>
      </c>
      <c r="H63">
        <v>-11.940000534057621</v>
      </c>
      <c r="I63">
        <v>-1.032500534057617</v>
      </c>
      <c r="J63">
        <v>-0.1032500534057617</v>
      </c>
      <c r="K63">
        <v>30</v>
      </c>
      <c r="L63">
        <v>516.59997940063477</v>
      </c>
      <c r="M63">
        <v>-0.51625026702880827</v>
      </c>
      <c r="N63">
        <v>5.4537500000000003</v>
      </c>
      <c r="O63">
        <v>4.937499732971192</v>
      </c>
      <c r="P63" t="s">
        <v>19</v>
      </c>
    </row>
    <row r="64" spans="1:16" x14ac:dyDescent="0.35">
      <c r="A64" t="s">
        <v>139</v>
      </c>
      <c r="B64" t="s">
        <v>140</v>
      </c>
      <c r="C64" t="s">
        <v>110</v>
      </c>
      <c r="D64">
        <v>0.86181818181818182</v>
      </c>
      <c r="E64">
        <v>9.48</v>
      </c>
      <c r="F64">
        <v>44.5</v>
      </c>
      <c r="G64">
        <v>28</v>
      </c>
      <c r="H64">
        <v>-16.5</v>
      </c>
      <c r="I64">
        <v>-7.02</v>
      </c>
      <c r="J64">
        <v>-0.70199999999999996</v>
      </c>
      <c r="K64">
        <v>18</v>
      </c>
      <c r="L64">
        <v>504</v>
      </c>
      <c r="M64">
        <v>-3.51</v>
      </c>
      <c r="N64">
        <v>4.3090909090909086</v>
      </c>
      <c r="O64">
        <v>0.79909090909090885</v>
      </c>
      <c r="P64" t="s">
        <v>19</v>
      </c>
    </row>
    <row r="65" spans="1:16" x14ac:dyDescent="0.35">
      <c r="A65" t="s">
        <v>141</v>
      </c>
      <c r="B65" t="s">
        <v>142</v>
      </c>
      <c r="C65" t="s">
        <v>110</v>
      </c>
      <c r="D65">
        <v>3.2966666666666669</v>
      </c>
      <c r="E65">
        <v>9.89</v>
      </c>
      <c r="G65">
        <v>84.230003356933594</v>
      </c>
      <c r="K65">
        <v>6</v>
      </c>
      <c r="L65">
        <v>505.38002014160162</v>
      </c>
      <c r="N65">
        <v>16.483333333333331</v>
      </c>
      <c r="P65" t="s">
        <v>19</v>
      </c>
    </row>
    <row r="66" spans="1:16" x14ac:dyDescent="0.35">
      <c r="E66">
        <f>AVERAGE(E49:E65)</f>
        <v>15.389988235294117</v>
      </c>
    </row>
    <row r="67" spans="1:16" x14ac:dyDescent="0.35">
      <c r="A67" t="s">
        <v>143</v>
      </c>
      <c r="B67" t="s">
        <v>144</v>
      </c>
      <c r="C67" t="s">
        <v>145</v>
      </c>
      <c r="D67">
        <v>7.2681818181818194</v>
      </c>
      <c r="E67">
        <v>79.95</v>
      </c>
      <c r="F67">
        <v>148.1199951171875</v>
      </c>
      <c r="G67">
        <v>437.489990234375</v>
      </c>
      <c r="H67">
        <v>289.3699951171875</v>
      </c>
      <c r="I67">
        <v>369.31999511718749</v>
      </c>
      <c r="J67">
        <v>36.93199951171875</v>
      </c>
      <c r="K67">
        <v>2</v>
      </c>
      <c r="L67">
        <v>874.97998046875</v>
      </c>
      <c r="M67">
        <v>184.65999755859369</v>
      </c>
      <c r="N67">
        <v>36.340909090909093</v>
      </c>
      <c r="O67">
        <v>221.00090664950281</v>
      </c>
      <c r="P67" t="s">
        <v>19</v>
      </c>
    </row>
    <row r="68" spans="1:16" x14ac:dyDescent="0.35">
      <c r="A68" t="s">
        <v>146</v>
      </c>
      <c r="B68" t="s">
        <v>147</v>
      </c>
      <c r="C68" t="s">
        <v>145</v>
      </c>
      <c r="D68">
        <v>8.4145555555555553</v>
      </c>
      <c r="E68">
        <v>75.730999999999995</v>
      </c>
      <c r="F68">
        <v>143.88999938964841</v>
      </c>
      <c r="G68">
        <v>315.14999389648438</v>
      </c>
      <c r="H68">
        <v>171.25999450683591</v>
      </c>
      <c r="I68">
        <v>246.9909945068359</v>
      </c>
      <c r="J68">
        <v>24.69909945068359</v>
      </c>
      <c r="K68">
        <v>2</v>
      </c>
      <c r="L68">
        <v>630.29998779296875</v>
      </c>
      <c r="M68">
        <v>123.49549725341799</v>
      </c>
      <c r="N68">
        <v>42.072777777777773</v>
      </c>
      <c r="O68">
        <v>165.56827503119581</v>
      </c>
      <c r="P68" t="s">
        <v>19</v>
      </c>
    </row>
    <row r="69" spans="1:16" x14ac:dyDescent="0.35">
      <c r="A69" t="s">
        <v>148</v>
      </c>
      <c r="B69" t="s">
        <v>149</v>
      </c>
      <c r="C69" t="s">
        <v>145</v>
      </c>
      <c r="D69">
        <v>6.381555555555555</v>
      </c>
      <c r="E69">
        <v>57.433999999999997</v>
      </c>
      <c r="F69">
        <v>82.519996643066406</v>
      </c>
      <c r="G69">
        <v>262.04998779296881</v>
      </c>
      <c r="H69">
        <v>179.52999114990229</v>
      </c>
      <c r="I69">
        <v>236.96399114990231</v>
      </c>
      <c r="J69">
        <v>23.696399114990239</v>
      </c>
      <c r="K69">
        <v>2</v>
      </c>
      <c r="L69">
        <v>524.0999755859375</v>
      </c>
      <c r="M69">
        <v>118.4819955749512</v>
      </c>
      <c r="N69">
        <v>31.90777777777777</v>
      </c>
      <c r="O69">
        <v>150.38977335272901</v>
      </c>
      <c r="P69" t="s">
        <v>19</v>
      </c>
    </row>
    <row r="70" spans="1:16" x14ac:dyDescent="0.35">
      <c r="A70" t="s">
        <v>150</v>
      </c>
      <c r="B70" t="s">
        <v>151</v>
      </c>
      <c r="C70" t="s">
        <v>145</v>
      </c>
      <c r="D70">
        <v>3.2456666666666671</v>
      </c>
      <c r="E70">
        <v>29.210999999999999</v>
      </c>
      <c r="F70">
        <v>34.540000915527337</v>
      </c>
      <c r="G70">
        <v>114.129997253418</v>
      </c>
      <c r="H70">
        <v>79.589996337890625</v>
      </c>
      <c r="I70">
        <v>108.8009963378906</v>
      </c>
      <c r="J70">
        <v>10.88009963378906</v>
      </c>
      <c r="K70">
        <v>5</v>
      </c>
      <c r="L70">
        <v>570.64998626708984</v>
      </c>
      <c r="M70">
        <v>54.400498168945298</v>
      </c>
      <c r="N70">
        <v>16.228333333333332</v>
      </c>
      <c r="O70">
        <v>70.628831502278643</v>
      </c>
      <c r="P70" t="s">
        <v>19</v>
      </c>
    </row>
    <row r="71" spans="1:16" x14ac:dyDescent="0.35">
      <c r="A71" t="s">
        <v>152</v>
      </c>
      <c r="B71" t="s">
        <v>153</v>
      </c>
      <c r="C71" t="s">
        <v>145</v>
      </c>
      <c r="D71">
        <v>2.5963636363636371</v>
      </c>
      <c r="E71">
        <v>28.56</v>
      </c>
      <c r="F71">
        <v>60.880001068115227</v>
      </c>
      <c r="G71">
        <v>90.949996948242188</v>
      </c>
      <c r="H71">
        <v>30.06999588012695</v>
      </c>
      <c r="I71">
        <v>58.629995880126963</v>
      </c>
      <c r="J71">
        <v>5.8629995880126957</v>
      </c>
      <c r="K71">
        <v>6</v>
      </c>
      <c r="L71">
        <v>545.69998168945313</v>
      </c>
      <c r="M71">
        <v>29.314997940063481</v>
      </c>
      <c r="N71">
        <v>12.981818181818181</v>
      </c>
      <c r="O71">
        <v>42.296816121881662</v>
      </c>
      <c r="P71" t="s">
        <v>19</v>
      </c>
    </row>
    <row r="72" spans="1:16" x14ac:dyDescent="0.35">
      <c r="A72" t="s">
        <v>154</v>
      </c>
      <c r="B72" t="s">
        <v>155</v>
      </c>
      <c r="C72" t="s">
        <v>145</v>
      </c>
      <c r="D72">
        <v>1.4268000000000001</v>
      </c>
      <c r="E72">
        <v>14.268000000000001</v>
      </c>
      <c r="F72">
        <v>36.299999237060547</v>
      </c>
      <c r="G72">
        <v>77.029998779296875</v>
      </c>
      <c r="H72">
        <v>40.729999542236328</v>
      </c>
      <c r="I72">
        <v>54.997999542236329</v>
      </c>
      <c r="J72">
        <v>5.4997999542236329</v>
      </c>
      <c r="K72">
        <v>7</v>
      </c>
      <c r="L72">
        <v>539.20999145507813</v>
      </c>
      <c r="M72">
        <v>27.498999771118161</v>
      </c>
      <c r="N72">
        <v>7.1340000000000003</v>
      </c>
      <c r="O72">
        <v>34.632999771118158</v>
      </c>
      <c r="P72" t="s">
        <v>19</v>
      </c>
    </row>
    <row r="73" spans="1:16" x14ac:dyDescent="0.35">
      <c r="A73" t="s">
        <v>156</v>
      </c>
      <c r="B73" t="s">
        <v>157</v>
      </c>
      <c r="C73" t="s">
        <v>145</v>
      </c>
      <c r="D73">
        <v>3.2</v>
      </c>
      <c r="E73">
        <v>28.8</v>
      </c>
      <c r="F73">
        <v>90.830001831054688</v>
      </c>
      <c r="G73">
        <v>116.0899963378906</v>
      </c>
      <c r="H73">
        <v>25.259994506835941</v>
      </c>
      <c r="I73">
        <v>54.059994506835928</v>
      </c>
      <c r="J73">
        <v>5.4059994506835931</v>
      </c>
      <c r="K73">
        <v>5</v>
      </c>
      <c r="L73">
        <v>580.44998168945313</v>
      </c>
      <c r="M73">
        <v>27.029997253417971</v>
      </c>
      <c r="N73">
        <v>16</v>
      </c>
      <c r="O73">
        <v>43.029997253417967</v>
      </c>
      <c r="P73" t="s">
        <v>19</v>
      </c>
    </row>
    <row r="74" spans="1:16" x14ac:dyDescent="0.35">
      <c r="A74" t="s">
        <v>158</v>
      </c>
      <c r="B74" t="s">
        <v>159</v>
      </c>
      <c r="C74" t="s">
        <v>145</v>
      </c>
      <c r="D74">
        <v>3.3709090909090911</v>
      </c>
      <c r="E74">
        <v>37.08</v>
      </c>
      <c r="F74">
        <v>92.389999389648438</v>
      </c>
      <c r="G74">
        <v>98.05999755859375</v>
      </c>
      <c r="H74">
        <v>5.6699981689453134</v>
      </c>
      <c r="I74">
        <v>42.749998168945311</v>
      </c>
      <c r="J74">
        <v>4.2749998168945309</v>
      </c>
      <c r="K74">
        <v>6</v>
      </c>
      <c r="L74">
        <v>588.3599853515625</v>
      </c>
      <c r="M74">
        <v>21.374999084472659</v>
      </c>
      <c r="N74">
        <v>16.854545454545459</v>
      </c>
      <c r="O74">
        <v>38.229544539018107</v>
      </c>
      <c r="P74" t="s">
        <v>19</v>
      </c>
    </row>
    <row r="75" spans="1:16" x14ac:dyDescent="0.35">
      <c r="A75" t="s">
        <v>160</v>
      </c>
      <c r="B75" t="s">
        <v>161</v>
      </c>
      <c r="C75" t="s">
        <v>145</v>
      </c>
      <c r="D75">
        <v>4.4127272727272731</v>
      </c>
      <c r="E75">
        <v>48.54</v>
      </c>
      <c r="F75">
        <v>114.63999938964839</v>
      </c>
      <c r="G75">
        <v>107.7200012207031</v>
      </c>
      <c r="H75">
        <v>-6.9199981689453134</v>
      </c>
      <c r="I75">
        <v>41.620001831054687</v>
      </c>
      <c r="J75">
        <v>4.1620001831054676</v>
      </c>
      <c r="K75">
        <v>5</v>
      </c>
      <c r="L75">
        <v>538.60000610351563</v>
      </c>
      <c r="M75">
        <v>20.81000091552734</v>
      </c>
      <c r="N75">
        <v>22.06363636363637</v>
      </c>
      <c r="O75">
        <v>42.873637279163709</v>
      </c>
      <c r="P75" t="s">
        <v>19</v>
      </c>
    </row>
    <row r="76" spans="1:16" x14ac:dyDescent="0.35">
      <c r="A76" t="s">
        <v>162</v>
      </c>
      <c r="B76" t="s">
        <v>163</v>
      </c>
      <c r="C76" t="s">
        <v>145</v>
      </c>
      <c r="D76">
        <v>0.64250000000000007</v>
      </c>
      <c r="E76">
        <v>1.2849999999999999</v>
      </c>
      <c r="F76">
        <v>22.680000305175781</v>
      </c>
      <c r="G76">
        <v>43.509998321533203</v>
      </c>
      <c r="H76">
        <v>20.829998016357418</v>
      </c>
      <c r="I76">
        <v>22.114998016357418</v>
      </c>
      <c r="J76">
        <v>2.2114998016357421</v>
      </c>
      <c r="K76">
        <v>12</v>
      </c>
      <c r="L76">
        <v>522.11997985839844</v>
      </c>
      <c r="M76">
        <v>11.057499008178709</v>
      </c>
      <c r="N76">
        <v>3.2124999999999999</v>
      </c>
      <c r="O76">
        <v>14.26999900817871</v>
      </c>
      <c r="P76" t="s">
        <v>19</v>
      </c>
    </row>
    <row r="77" spans="1:16" x14ac:dyDescent="0.35">
      <c r="A77" t="s">
        <v>164</v>
      </c>
      <c r="B77" t="s">
        <v>165</v>
      </c>
      <c r="C77" t="s">
        <v>145</v>
      </c>
      <c r="D77">
        <v>0.50332500000000002</v>
      </c>
      <c r="E77">
        <v>5.0332499999999998</v>
      </c>
      <c r="F77">
        <v>7.6350002288818359</v>
      </c>
      <c r="G77">
        <v>20.190000534057621</v>
      </c>
      <c r="H77">
        <v>12.555000305175779</v>
      </c>
      <c r="I77">
        <v>17.58825030517578</v>
      </c>
      <c r="J77">
        <v>1.7588250305175781</v>
      </c>
      <c r="K77">
        <v>25</v>
      </c>
      <c r="L77">
        <v>504.75001335144037</v>
      </c>
      <c r="M77">
        <v>8.7941251525878901</v>
      </c>
      <c r="N77">
        <v>2.5166249999999999</v>
      </c>
      <c r="O77">
        <v>11.31075015258789</v>
      </c>
      <c r="P77" t="s">
        <v>19</v>
      </c>
    </row>
    <row r="78" spans="1:16" x14ac:dyDescent="0.35">
      <c r="A78" t="s">
        <v>164</v>
      </c>
      <c r="B78" t="s">
        <v>166</v>
      </c>
      <c r="C78" t="s">
        <v>145</v>
      </c>
      <c r="D78">
        <v>0.48720000000000002</v>
      </c>
      <c r="E78">
        <v>4.8719999999999999</v>
      </c>
      <c r="F78">
        <v>6.8499999046325684</v>
      </c>
      <c r="G78">
        <v>17.530000686645511</v>
      </c>
      <c r="H78">
        <v>10.680000782012939</v>
      </c>
      <c r="I78">
        <v>15.552000782012939</v>
      </c>
      <c r="J78">
        <v>1.555200078201294</v>
      </c>
      <c r="K78">
        <v>29</v>
      </c>
      <c r="L78">
        <v>508.37001991271973</v>
      </c>
      <c r="M78">
        <v>7.7760003910064697</v>
      </c>
      <c r="N78">
        <v>2.4359999999999999</v>
      </c>
      <c r="O78">
        <v>10.21200039100647</v>
      </c>
      <c r="P78" t="s">
        <v>19</v>
      </c>
    </row>
    <row r="79" spans="1:16" x14ac:dyDescent="0.35">
      <c r="A79" t="s">
        <v>167</v>
      </c>
      <c r="B79" t="s">
        <v>168</v>
      </c>
      <c r="C79" t="s">
        <v>145</v>
      </c>
      <c r="D79">
        <v>0.64249999999999996</v>
      </c>
      <c r="E79">
        <v>6.4249999999999998</v>
      </c>
      <c r="F79">
        <v>18.35000038146973</v>
      </c>
      <c r="G79">
        <v>24.489999771118161</v>
      </c>
      <c r="H79">
        <v>6.1399993896484384</v>
      </c>
      <c r="I79">
        <v>12.56499938964844</v>
      </c>
      <c r="J79">
        <v>1.2564999389648439</v>
      </c>
      <c r="K79">
        <v>21</v>
      </c>
      <c r="L79">
        <v>514.28999519348145</v>
      </c>
      <c r="M79">
        <v>6.2824996948242191</v>
      </c>
      <c r="N79">
        <v>3.2124999999999999</v>
      </c>
      <c r="O79">
        <v>9.4949996948242195</v>
      </c>
      <c r="P79" t="s">
        <v>19</v>
      </c>
    </row>
    <row r="80" spans="1:16" x14ac:dyDescent="0.35">
      <c r="A80" t="s">
        <v>169</v>
      </c>
      <c r="B80" t="s">
        <v>170</v>
      </c>
      <c r="C80" t="s">
        <v>145</v>
      </c>
      <c r="D80">
        <v>0.35975000000000001</v>
      </c>
      <c r="E80">
        <v>3.5975000000000001</v>
      </c>
      <c r="F80">
        <v>12.89999961853027</v>
      </c>
      <c r="G80">
        <v>16.340000152587891</v>
      </c>
      <c r="H80">
        <v>3.4400005340576172</v>
      </c>
      <c r="I80">
        <v>7.0375005340576173</v>
      </c>
      <c r="J80">
        <v>0.70375005340576169</v>
      </c>
      <c r="K80">
        <v>31</v>
      </c>
      <c r="L80">
        <v>506.54000473022461</v>
      </c>
      <c r="M80">
        <v>3.5187502670288091</v>
      </c>
      <c r="N80">
        <v>1.7987500000000001</v>
      </c>
      <c r="O80">
        <v>5.3175002670288087</v>
      </c>
      <c r="P80" t="s">
        <v>19</v>
      </c>
    </row>
    <row r="81" spans="1:16" x14ac:dyDescent="0.35">
      <c r="A81" t="s">
        <v>171</v>
      </c>
      <c r="B81" t="s">
        <v>172</v>
      </c>
      <c r="C81" t="s">
        <v>145</v>
      </c>
      <c r="D81">
        <v>2.6327272727272728</v>
      </c>
      <c r="E81">
        <v>28.96</v>
      </c>
      <c r="F81">
        <v>114.69000244140631</v>
      </c>
      <c r="G81">
        <v>76.010002136230469</v>
      </c>
      <c r="H81">
        <v>-38.680000305175781</v>
      </c>
      <c r="I81">
        <v>-9.7200003051757804</v>
      </c>
      <c r="J81">
        <v>-0.972000030517578</v>
      </c>
      <c r="K81">
        <v>7</v>
      </c>
      <c r="L81">
        <v>532.07001495361328</v>
      </c>
      <c r="M81">
        <v>-4.8600001525878902</v>
      </c>
      <c r="N81">
        <v>13.16363636363636</v>
      </c>
      <c r="O81">
        <v>8.3036362110484738</v>
      </c>
      <c r="P81" t="s">
        <v>19</v>
      </c>
    </row>
    <row r="82" spans="1:16" x14ac:dyDescent="0.35">
      <c r="A82" t="s">
        <v>173</v>
      </c>
      <c r="B82" t="s">
        <v>174</v>
      </c>
      <c r="C82" t="s">
        <v>145</v>
      </c>
      <c r="D82">
        <v>0.93766666666666665</v>
      </c>
      <c r="E82">
        <v>2.8130000000000002</v>
      </c>
      <c r="G82">
        <v>25.440000534057621</v>
      </c>
      <c r="K82">
        <v>20</v>
      </c>
      <c r="L82">
        <v>508.80001068115229</v>
      </c>
      <c r="N82">
        <v>4.6883333333333326</v>
      </c>
      <c r="P82" t="s">
        <v>19</v>
      </c>
    </row>
    <row r="83" spans="1:16" x14ac:dyDescent="0.35">
      <c r="E83">
        <f>AVERAGE(E67:E82)</f>
        <v>28.284984375000004</v>
      </c>
    </row>
    <row r="84" spans="1:16" x14ac:dyDescent="0.35">
      <c r="A84" t="s">
        <v>175</v>
      </c>
      <c r="B84" t="s">
        <v>176</v>
      </c>
      <c r="C84" t="s">
        <v>177</v>
      </c>
      <c r="D84">
        <v>9.6136363636363633</v>
      </c>
      <c r="E84">
        <v>105.75</v>
      </c>
      <c r="F84">
        <v>223.5</v>
      </c>
      <c r="G84">
        <v>310.82000732421881</v>
      </c>
      <c r="H84">
        <v>87.32000732421875</v>
      </c>
      <c r="I84">
        <v>193.07000732421881</v>
      </c>
      <c r="J84">
        <v>19.30700073242188</v>
      </c>
      <c r="K84">
        <v>2</v>
      </c>
      <c r="L84">
        <v>621.6400146484375</v>
      </c>
      <c r="M84">
        <v>96.535003662109375</v>
      </c>
      <c r="N84">
        <v>48.068181818181813</v>
      </c>
      <c r="O84">
        <v>144.60318548029119</v>
      </c>
      <c r="P84" t="s">
        <v>19</v>
      </c>
    </row>
    <row r="85" spans="1:16" x14ac:dyDescent="0.35">
      <c r="A85" t="s">
        <v>178</v>
      </c>
      <c r="B85" t="s">
        <v>179</v>
      </c>
      <c r="C85" t="s">
        <v>177</v>
      </c>
      <c r="D85">
        <v>4.3218181818181822</v>
      </c>
      <c r="E85">
        <v>47.54</v>
      </c>
      <c r="F85">
        <v>77.239997863769531</v>
      </c>
      <c r="G85">
        <v>142.6600036621094</v>
      </c>
      <c r="H85">
        <v>65.420005798339844</v>
      </c>
      <c r="I85">
        <v>112.96000579833979</v>
      </c>
      <c r="J85">
        <v>11.296000579833979</v>
      </c>
      <c r="K85">
        <v>4</v>
      </c>
      <c r="L85">
        <v>570.6400146484375</v>
      </c>
      <c r="M85">
        <v>56.480002899169918</v>
      </c>
      <c r="N85">
        <v>21.609090909090909</v>
      </c>
      <c r="O85">
        <v>78.089093808260827</v>
      </c>
      <c r="P85" t="s">
        <v>19</v>
      </c>
    </row>
    <row r="86" spans="1:16" x14ac:dyDescent="0.35">
      <c r="A86" t="s">
        <v>180</v>
      </c>
      <c r="B86" t="s">
        <v>181</v>
      </c>
      <c r="C86" t="s">
        <v>177</v>
      </c>
      <c r="D86">
        <v>2.3195454545454539</v>
      </c>
      <c r="E86">
        <v>25.515000000000001</v>
      </c>
      <c r="F86">
        <v>46.049999237060547</v>
      </c>
      <c r="G86">
        <v>77.25</v>
      </c>
      <c r="H86">
        <v>31.20000076293945</v>
      </c>
      <c r="I86">
        <v>56.715000762939447</v>
      </c>
      <c r="J86">
        <v>5.6715000762939454</v>
      </c>
      <c r="K86">
        <v>7</v>
      </c>
      <c r="L86">
        <v>540.75</v>
      </c>
      <c r="M86">
        <v>28.35750038146973</v>
      </c>
      <c r="N86">
        <v>11.597727272727271</v>
      </c>
      <c r="O86">
        <v>39.955227654197003</v>
      </c>
      <c r="P86" t="s">
        <v>19</v>
      </c>
    </row>
    <row r="87" spans="1:16" x14ac:dyDescent="0.35">
      <c r="A87" t="s">
        <v>182</v>
      </c>
      <c r="B87" t="s">
        <v>183</v>
      </c>
      <c r="C87" t="s">
        <v>177</v>
      </c>
      <c r="D87">
        <v>2.4440909090909089</v>
      </c>
      <c r="E87">
        <v>26.885000000000002</v>
      </c>
      <c r="F87">
        <v>30.620000839233398</v>
      </c>
      <c r="G87">
        <v>46.639999389648438</v>
      </c>
      <c r="H87">
        <v>16.019998550415039</v>
      </c>
      <c r="I87">
        <v>42.904998550415037</v>
      </c>
      <c r="J87">
        <v>4.2904998550415048</v>
      </c>
      <c r="K87">
        <v>11</v>
      </c>
      <c r="L87">
        <v>513.03999328613281</v>
      </c>
      <c r="M87">
        <v>21.452499275207519</v>
      </c>
      <c r="N87">
        <v>12.220454545454549</v>
      </c>
      <c r="O87">
        <v>33.672953820662073</v>
      </c>
      <c r="P87" t="s">
        <v>19</v>
      </c>
    </row>
    <row r="88" spans="1:16" x14ac:dyDescent="0.35">
      <c r="A88" t="s">
        <v>184</v>
      </c>
      <c r="B88" t="s">
        <v>185</v>
      </c>
      <c r="C88" t="s">
        <v>177</v>
      </c>
      <c r="D88">
        <v>2.397272727272727</v>
      </c>
      <c r="E88">
        <v>26.37</v>
      </c>
      <c r="F88">
        <v>31.260000228881839</v>
      </c>
      <c r="G88">
        <v>46.349998474121087</v>
      </c>
      <c r="H88">
        <v>15.08999824523926</v>
      </c>
      <c r="I88">
        <v>41.459998245239262</v>
      </c>
      <c r="J88">
        <v>4.1459998245239262</v>
      </c>
      <c r="K88">
        <v>11</v>
      </c>
      <c r="L88">
        <v>509.84998321533197</v>
      </c>
      <c r="M88">
        <v>20.729999122619631</v>
      </c>
      <c r="N88">
        <v>11.98636363636364</v>
      </c>
      <c r="O88">
        <v>32.716362758983273</v>
      </c>
      <c r="P88" t="s">
        <v>19</v>
      </c>
    </row>
    <row r="89" spans="1:16" x14ac:dyDescent="0.35">
      <c r="A89" t="s">
        <v>186</v>
      </c>
      <c r="B89" t="s">
        <v>187</v>
      </c>
      <c r="C89" t="s">
        <v>177</v>
      </c>
      <c r="D89">
        <v>2.5553541818181822</v>
      </c>
      <c r="E89">
        <v>28.108896000000001</v>
      </c>
      <c r="F89">
        <v>55.697673797607422</v>
      </c>
      <c r="G89">
        <v>64.080001831054688</v>
      </c>
      <c r="H89">
        <v>8.3823280334472656</v>
      </c>
      <c r="I89">
        <v>36.491224033447267</v>
      </c>
      <c r="J89">
        <v>3.6491224033447272</v>
      </c>
      <c r="K89">
        <v>8</v>
      </c>
      <c r="L89">
        <v>512.6400146484375</v>
      </c>
      <c r="M89">
        <v>18.24561201672363</v>
      </c>
      <c r="N89">
        <v>12.77677090909091</v>
      </c>
      <c r="O89">
        <v>31.02238292581454</v>
      </c>
      <c r="P89" t="s">
        <v>19</v>
      </c>
    </row>
    <row r="90" spans="1:16" x14ac:dyDescent="0.35">
      <c r="A90" t="s">
        <v>188</v>
      </c>
      <c r="B90" t="s">
        <v>189</v>
      </c>
      <c r="C90" t="s">
        <v>177</v>
      </c>
      <c r="D90">
        <v>0.59090909090909094</v>
      </c>
      <c r="E90">
        <v>6.5</v>
      </c>
      <c r="F90">
        <v>8.9200000762939453</v>
      </c>
      <c r="G90">
        <v>15.85000038146973</v>
      </c>
      <c r="H90">
        <v>6.9300003051757813</v>
      </c>
      <c r="I90">
        <v>13.430000305175779</v>
      </c>
      <c r="J90">
        <v>1.343000030517578</v>
      </c>
      <c r="K90">
        <v>32</v>
      </c>
      <c r="L90">
        <v>507.20001220703131</v>
      </c>
      <c r="M90">
        <v>6.7150001525878906</v>
      </c>
      <c r="N90">
        <v>2.954545454545455</v>
      </c>
      <c r="O90">
        <v>9.6695456071333457</v>
      </c>
      <c r="P90" t="s">
        <v>19</v>
      </c>
    </row>
    <row r="91" spans="1:16" x14ac:dyDescent="0.35">
      <c r="A91" t="s">
        <v>190</v>
      </c>
      <c r="B91" t="s">
        <v>191</v>
      </c>
      <c r="C91" t="s">
        <v>177</v>
      </c>
      <c r="D91">
        <v>1.339636363636364</v>
      </c>
      <c r="E91">
        <v>14.736000000000001</v>
      </c>
      <c r="F91">
        <v>36.479999542236328</v>
      </c>
      <c r="G91">
        <v>34.909999847412109</v>
      </c>
      <c r="H91">
        <v>-1.569999694824219</v>
      </c>
      <c r="I91">
        <v>13.16600030517578</v>
      </c>
      <c r="J91">
        <v>1.316600030517578</v>
      </c>
      <c r="K91">
        <v>15</v>
      </c>
      <c r="L91">
        <v>523.64999771118164</v>
      </c>
      <c r="M91">
        <v>6.5830001525878901</v>
      </c>
      <c r="N91">
        <v>6.6981818181818173</v>
      </c>
      <c r="O91">
        <v>13.28118197076971</v>
      </c>
      <c r="P91" t="s">
        <v>19</v>
      </c>
    </row>
    <row r="92" spans="1:16" x14ac:dyDescent="0.35">
      <c r="A92" t="s">
        <v>192</v>
      </c>
      <c r="B92" t="s">
        <v>193</v>
      </c>
      <c r="C92" t="s">
        <v>177</v>
      </c>
      <c r="D92">
        <v>0.98836363636363633</v>
      </c>
      <c r="E92">
        <v>10.872</v>
      </c>
      <c r="F92">
        <v>35.779998779296882</v>
      </c>
      <c r="G92">
        <v>36.979999542236328</v>
      </c>
      <c r="H92">
        <v>1.2000007629394529</v>
      </c>
      <c r="I92">
        <v>12.072000762939449</v>
      </c>
      <c r="J92">
        <v>1.207200076293945</v>
      </c>
      <c r="K92">
        <v>14</v>
      </c>
      <c r="L92">
        <v>517.71999359130859</v>
      </c>
      <c r="M92">
        <v>6.0360003814697274</v>
      </c>
      <c r="N92">
        <v>4.9418181818181814</v>
      </c>
      <c r="O92">
        <v>10.97781856328791</v>
      </c>
      <c r="P92" t="s">
        <v>19</v>
      </c>
    </row>
    <row r="93" spans="1:16" x14ac:dyDescent="0.35">
      <c r="A93" t="s">
        <v>194</v>
      </c>
      <c r="B93" t="s">
        <v>195</v>
      </c>
      <c r="C93" t="s">
        <v>177</v>
      </c>
      <c r="D93">
        <v>1.294545454545454</v>
      </c>
      <c r="E93">
        <v>14.24</v>
      </c>
      <c r="F93">
        <v>24.420000076293949</v>
      </c>
      <c r="G93">
        <v>19.909999847412109</v>
      </c>
      <c r="H93">
        <v>-4.5100002288818359</v>
      </c>
      <c r="I93">
        <v>9.7299997711181643</v>
      </c>
      <c r="J93">
        <v>0.97299997711181641</v>
      </c>
      <c r="K93">
        <v>26</v>
      </c>
      <c r="L93">
        <v>517.65999603271484</v>
      </c>
      <c r="M93">
        <v>4.8649998855590821</v>
      </c>
      <c r="N93">
        <v>6.4727272727272727</v>
      </c>
      <c r="O93">
        <v>11.337727158286359</v>
      </c>
      <c r="P93" t="s">
        <v>19</v>
      </c>
    </row>
    <row r="94" spans="1:16" x14ac:dyDescent="0.35">
      <c r="A94" t="s">
        <v>196</v>
      </c>
      <c r="B94" t="s">
        <v>197</v>
      </c>
      <c r="C94" t="s">
        <v>177</v>
      </c>
      <c r="D94">
        <v>1.124545454545455</v>
      </c>
      <c r="E94">
        <v>12.37</v>
      </c>
      <c r="F94">
        <v>30.090000152587891</v>
      </c>
      <c r="G94">
        <v>25</v>
      </c>
      <c r="H94">
        <v>-5.0900001525878906</v>
      </c>
      <c r="I94">
        <v>7.2799998474121104</v>
      </c>
      <c r="J94">
        <v>0.72799998474121108</v>
      </c>
      <c r="K94">
        <v>20</v>
      </c>
      <c r="L94">
        <v>500</v>
      </c>
      <c r="M94">
        <v>3.6399999237060552</v>
      </c>
      <c r="N94">
        <v>5.622727272727273</v>
      </c>
      <c r="O94">
        <v>9.2627271964333282</v>
      </c>
      <c r="P94" t="s">
        <v>19</v>
      </c>
    </row>
    <row r="95" spans="1:16" x14ac:dyDescent="0.35">
      <c r="A95" t="s">
        <v>198</v>
      </c>
      <c r="B95" t="s">
        <v>199</v>
      </c>
      <c r="C95" t="s">
        <v>177</v>
      </c>
      <c r="D95">
        <v>1.251668909090909</v>
      </c>
      <c r="E95">
        <v>13.768357999999999</v>
      </c>
      <c r="F95">
        <v>29.719999313354489</v>
      </c>
      <c r="G95">
        <v>16.409999847412109</v>
      </c>
      <c r="H95">
        <v>-13.309999465942379</v>
      </c>
      <c r="I95">
        <v>0.4583585340576164</v>
      </c>
      <c r="J95">
        <v>4.5835853405761642E-2</v>
      </c>
      <c r="K95">
        <v>31</v>
      </c>
      <c r="L95">
        <v>508.70999526977539</v>
      </c>
      <c r="M95">
        <v>0.2291792670288082</v>
      </c>
      <c r="N95">
        <v>6.2583445454545448</v>
      </c>
      <c r="O95">
        <v>6.487523812483353</v>
      </c>
      <c r="P95" t="s">
        <v>19</v>
      </c>
    </row>
    <row r="96" spans="1:16" x14ac:dyDescent="0.35">
      <c r="A96" t="s">
        <v>200</v>
      </c>
      <c r="B96" t="s">
        <v>201</v>
      </c>
      <c r="C96" t="s">
        <v>177</v>
      </c>
      <c r="D96">
        <v>1.956818181818182</v>
      </c>
      <c r="E96">
        <v>21.524999999999999</v>
      </c>
      <c r="F96">
        <v>73.220001220703125</v>
      </c>
      <c r="G96">
        <v>31.45999908447266</v>
      </c>
      <c r="H96">
        <v>-41.760002136230469</v>
      </c>
      <c r="I96">
        <v>-20.23500213623047</v>
      </c>
      <c r="J96">
        <v>-2.0235002136230471</v>
      </c>
      <c r="K96">
        <v>16</v>
      </c>
      <c r="L96">
        <v>503.3599853515625</v>
      </c>
      <c r="M96">
        <v>-10.11750106811524</v>
      </c>
      <c r="N96">
        <v>9.7840909090909083</v>
      </c>
      <c r="O96">
        <v>-0.3334101590243268</v>
      </c>
      <c r="P96" t="s">
        <v>19</v>
      </c>
    </row>
    <row r="97" spans="1:16" x14ac:dyDescent="0.35">
      <c r="A97" t="s">
        <v>202</v>
      </c>
      <c r="B97" t="s">
        <v>203</v>
      </c>
      <c r="C97" t="s">
        <v>177</v>
      </c>
      <c r="D97">
        <v>3.872727272727273</v>
      </c>
      <c r="E97">
        <v>42.6</v>
      </c>
      <c r="F97">
        <v>111.129997253418</v>
      </c>
      <c r="G97">
        <v>46.380001068115227</v>
      </c>
      <c r="H97">
        <v>-64.749996185302734</v>
      </c>
      <c r="I97">
        <v>-22.149996185302729</v>
      </c>
      <c r="J97">
        <v>-2.2149996185302729</v>
      </c>
      <c r="K97">
        <v>11</v>
      </c>
      <c r="L97">
        <v>510.18001174926758</v>
      </c>
      <c r="M97">
        <v>-11.07499809265137</v>
      </c>
      <c r="N97">
        <v>19.36363636363637</v>
      </c>
      <c r="O97">
        <v>8.2886382709850004</v>
      </c>
      <c r="P97" t="s">
        <v>19</v>
      </c>
    </row>
    <row r="98" spans="1:16" x14ac:dyDescent="0.35">
      <c r="A98" t="s">
        <v>204</v>
      </c>
      <c r="B98" t="s">
        <v>205</v>
      </c>
      <c r="C98" t="s">
        <v>177</v>
      </c>
      <c r="D98">
        <v>0.77933333333333332</v>
      </c>
      <c r="E98">
        <v>7.0140000000000002</v>
      </c>
      <c r="G98">
        <v>12.27000045776367</v>
      </c>
      <c r="K98">
        <v>41</v>
      </c>
      <c r="L98">
        <v>503.07001876831049</v>
      </c>
      <c r="N98">
        <v>3.8966666666666669</v>
      </c>
      <c r="P98" t="s">
        <v>19</v>
      </c>
    </row>
    <row r="99" spans="1:16" x14ac:dyDescent="0.35">
      <c r="A99" t="s">
        <v>206</v>
      </c>
      <c r="B99" t="s">
        <v>207</v>
      </c>
      <c r="C99" t="s">
        <v>177</v>
      </c>
      <c r="D99">
        <v>0.90155555555555555</v>
      </c>
      <c r="E99">
        <v>8.1140000000000008</v>
      </c>
      <c r="G99">
        <v>31.5</v>
      </c>
      <c r="K99">
        <v>16</v>
      </c>
      <c r="L99">
        <v>504</v>
      </c>
      <c r="N99">
        <v>4.5077777777777781</v>
      </c>
      <c r="P99" t="s">
        <v>19</v>
      </c>
    </row>
    <row r="100" spans="1:16" x14ac:dyDescent="0.35">
      <c r="A100" t="s">
        <v>208</v>
      </c>
      <c r="B100" t="s">
        <v>209</v>
      </c>
      <c r="C100" t="s">
        <v>177</v>
      </c>
      <c r="D100">
        <v>1.655</v>
      </c>
      <c r="E100">
        <v>3.31</v>
      </c>
      <c r="G100">
        <v>30.489999771118161</v>
      </c>
      <c r="K100">
        <v>17</v>
      </c>
      <c r="L100">
        <v>518.32999610900879</v>
      </c>
      <c r="N100">
        <v>8.2749999999999986</v>
      </c>
      <c r="P100" t="s">
        <v>19</v>
      </c>
    </row>
    <row r="101" spans="1:16" x14ac:dyDescent="0.35">
      <c r="E101">
        <f>AVERAGE(E84:E100)</f>
        <v>24.424603176470587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9AC7-DF06-4BD9-9B94-07799120C934}">
  <dimension ref="A1:C8"/>
  <sheetViews>
    <sheetView tabSelected="1" workbookViewId="0">
      <selection activeCell="H21" sqref="H21"/>
    </sheetView>
  </sheetViews>
  <sheetFormatPr defaultRowHeight="14.5" x14ac:dyDescent="0.35"/>
  <sheetData>
    <row r="1" spans="1:3" x14ac:dyDescent="0.35">
      <c r="A1" t="s">
        <v>210</v>
      </c>
    </row>
    <row r="3" spans="1:3" x14ac:dyDescent="0.35">
      <c r="A3" t="s">
        <v>211</v>
      </c>
      <c r="C3">
        <v>19.117073476190473</v>
      </c>
    </row>
    <row r="4" spans="1:3" x14ac:dyDescent="0.35">
      <c r="A4" t="s">
        <v>212</v>
      </c>
      <c r="C4">
        <v>15.8925</v>
      </c>
    </row>
    <row r="5" spans="1:3" x14ac:dyDescent="0.35">
      <c r="A5" t="s">
        <v>213</v>
      </c>
      <c r="C5">
        <v>12.403873500000001</v>
      </c>
    </row>
    <row r="6" spans="1:3" x14ac:dyDescent="0.35">
      <c r="A6" t="s">
        <v>214</v>
      </c>
      <c r="C6">
        <v>15.389988235294117</v>
      </c>
    </row>
    <row r="7" spans="1:3" x14ac:dyDescent="0.35">
      <c r="A7" t="s">
        <v>215</v>
      </c>
      <c r="C7">
        <v>28.284984375000004</v>
      </c>
    </row>
    <row r="8" spans="1:3" x14ac:dyDescent="0.35">
      <c r="A8" t="s">
        <v>216</v>
      </c>
      <c r="C8">
        <v>24.424603176470587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Ryne Bredendick</cp:lastModifiedBy>
  <dcterms:created xsi:type="dcterms:W3CDTF">2026-04-24T14:40:00Z</dcterms:created>
  <dcterms:modified xsi:type="dcterms:W3CDTF">2026-04-24T15:21:23Z</dcterms:modified>
</cp:coreProperties>
</file>