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ritzj\Documents\542\"/>
    </mc:Choice>
  </mc:AlternateContent>
  <xr:revisionPtr revIDLastSave="0" documentId="13_ncr:1_{313C34BB-4D66-4150-B6A4-F4B05C7CF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1" l="1"/>
  <c r="I42" i="1"/>
  <c r="I3" i="1"/>
  <c r="I6" i="1"/>
  <c r="I39" i="1"/>
  <c r="I15" i="1"/>
  <c r="I11" i="1"/>
  <c r="I21" i="1"/>
  <c r="I47" i="1"/>
  <c r="I7" i="1"/>
  <c r="I16" i="1"/>
  <c r="I8" i="1"/>
  <c r="I32" i="1"/>
  <c r="H18" i="1"/>
  <c r="H42" i="1"/>
  <c r="H10" i="1"/>
  <c r="I10" i="1" s="1"/>
  <c r="H31" i="1"/>
  <c r="I31" i="1" s="1"/>
  <c r="H40" i="1"/>
  <c r="I40" i="1" s="1"/>
  <c r="H26" i="1"/>
  <c r="I26" i="1" s="1"/>
  <c r="H33" i="1"/>
  <c r="I33" i="1" s="1"/>
  <c r="H19" i="1"/>
  <c r="I19" i="1" s="1"/>
  <c r="H25" i="1"/>
  <c r="I25" i="1" s="1"/>
  <c r="H20" i="1"/>
  <c r="I20" i="1" s="1"/>
  <c r="H41" i="1"/>
  <c r="I41" i="1" s="1"/>
  <c r="H44" i="1"/>
  <c r="I44" i="1" s="1"/>
  <c r="H3" i="1"/>
  <c r="H6" i="1"/>
  <c r="H39" i="1"/>
  <c r="H15" i="1"/>
  <c r="H11" i="1"/>
  <c r="H21" i="1"/>
  <c r="H47" i="1"/>
  <c r="H37" i="1"/>
  <c r="I37" i="1" s="1"/>
  <c r="H38" i="1"/>
  <c r="I38" i="1" s="1"/>
  <c r="H17" i="1"/>
  <c r="I17" i="1" s="1"/>
  <c r="H7" i="1"/>
  <c r="H16" i="1"/>
  <c r="H8" i="1"/>
  <c r="H36" i="1"/>
  <c r="I36" i="1" s="1"/>
  <c r="H12" i="1"/>
  <c r="I12" i="1" s="1"/>
  <c r="H22" i="1"/>
  <c r="I22" i="1" s="1"/>
  <c r="H2" i="1"/>
  <c r="I2" i="1" s="1"/>
  <c r="H46" i="1"/>
  <c r="I46" i="1" s="1"/>
  <c r="H29" i="1"/>
  <c r="I29" i="1" s="1"/>
  <c r="H9" i="1"/>
  <c r="I9" i="1" s="1"/>
  <c r="H13" i="1"/>
  <c r="I13" i="1" s="1"/>
  <c r="H28" i="1"/>
  <c r="I28" i="1" s="1"/>
  <c r="H32" i="1"/>
  <c r="H27" i="1"/>
  <c r="I27" i="1" s="1"/>
  <c r="H45" i="1"/>
  <c r="I45" i="1" s="1"/>
  <c r="H24" i="1"/>
  <c r="I24" i="1" s="1"/>
  <c r="H4" i="1"/>
  <c r="I4" i="1" s="1"/>
  <c r="H14" i="1"/>
  <c r="I14" i="1" s="1"/>
  <c r="H30" i="1"/>
  <c r="I30" i="1" s="1"/>
  <c r="H43" i="1"/>
  <c r="I43" i="1" s="1"/>
  <c r="H23" i="1"/>
  <c r="I23" i="1" s="1"/>
  <c r="H35" i="1"/>
  <c r="I35" i="1" s="1"/>
  <c r="H5" i="1"/>
  <c r="I5" i="1" s="1"/>
  <c r="H34" i="1"/>
  <c r="I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Stritzinger, John</author>
  </authors>
  <commentList>
    <comment ref="E13" authorId="0" shapeId="0" xr:uid="{43477687-2BF3-4711-8F04-2814327CF5B8}">
      <text>
        <r>
          <rPr>
            <b/>
            <sz val="9"/>
            <color indexed="81"/>
            <rFont val="Tahoma"/>
            <charset val="1"/>
          </rPr>
          <t>Stritzinger, John:</t>
        </r>
        <r>
          <rPr>
            <sz val="9"/>
            <color indexed="81"/>
            <rFont val="Tahoma"/>
            <charset val="1"/>
          </rPr>
          <t xml:space="preserve">
Missing Values</t>
        </r>
      </text>
    </comment>
  </commentList>
</comments>
</file>

<file path=xl/sharedStrings.xml><?xml version="1.0" encoding="utf-8"?>
<sst xmlns="http://schemas.openxmlformats.org/spreadsheetml/2006/main" count="102" uniqueCount="102">
  <si>
    <t>Company</t>
  </si>
  <si>
    <t>Ticker</t>
  </si>
  <si>
    <t>avgdividend</t>
  </si>
  <si>
    <t>totaldividends</t>
  </si>
  <si>
    <t>price_start</t>
  </si>
  <si>
    <t>price_end</t>
  </si>
  <si>
    <t>change</t>
  </si>
  <si>
    <t>Absa Group Ltd</t>
  </si>
  <si>
    <t>AGRPY</t>
  </si>
  <si>
    <t>Allianz SE</t>
  </si>
  <si>
    <t>ALIZY</t>
  </si>
  <si>
    <t>ANZ Group Holdings Limited</t>
  </si>
  <si>
    <t>ANZGY</t>
  </si>
  <si>
    <t>ARES CAPITAL CORPORATION</t>
  </si>
  <si>
    <t>ARCC</t>
  </si>
  <si>
    <t>Atlantic Union Bankshares Corp</t>
  </si>
  <si>
    <t>AUB</t>
  </si>
  <si>
    <t>Aviva PLC</t>
  </si>
  <si>
    <t>AVVIY</t>
  </si>
  <si>
    <t>Axa, Paris</t>
  </si>
  <si>
    <t>AXAHY</t>
  </si>
  <si>
    <t>Banco Bilbao Vizcaya Argentaria SA</t>
  </si>
  <si>
    <t>BBVA</t>
  </si>
  <si>
    <t>Banco De Chile</t>
  </si>
  <si>
    <t>BCH</t>
  </si>
  <si>
    <t>Franklin Resources Inc</t>
  </si>
  <si>
    <t>BEN</t>
  </si>
  <si>
    <t>BNP Paribas</t>
  </si>
  <si>
    <t>BNPQY</t>
  </si>
  <si>
    <t>The Bank of Nova Scotia</t>
  </si>
  <si>
    <t>BNS</t>
  </si>
  <si>
    <t>Banco Santander-Chile</t>
  </si>
  <si>
    <t>BSAC</t>
  </si>
  <si>
    <t>Blackstone Secured Lending Fund</t>
  </si>
  <si>
    <t>BXSL</t>
  </si>
  <si>
    <t>Grupo Cibest S.A</t>
  </si>
  <si>
    <t>CIB</t>
  </si>
  <si>
    <t>CNA Financial Corp</t>
  </si>
  <si>
    <t>CNA</t>
  </si>
  <si>
    <t>Columbia Banking System Inc</t>
  </si>
  <si>
    <t>COLB</t>
  </si>
  <si>
    <t>DBS Group Holdings Ltd</t>
  </si>
  <si>
    <t>DBSDY</t>
  </si>
  <si>
    <t>Danske Bank AS</t>
  </si>
  <si>
    <t>DNKEY</t>
  </si>
  <si>
    <t>Fidelity National Financial Inc</t>
  </si>
  <si>
    <t>FNF</t>
  </si>
  <si>
    <t>Huntington Bancshares Inc</t>
  </si>
  <si>
    <t>HBAN</t>
  </si>
  <si>
    <t>HSBC Holdings PLC</t>
  </si>
  <si>
    <t>HSBC</t>
  </si>
  <si>
    <t>ING Groep NV</t>
  </si>
  <si>
    <t>ING</t>
  </si>
  <si>
    <t>Intesa Sanpaolo SPA</t>
  </si>
  <si>
    <t>ISNPY</t>
  </si>
  <si>
    <t>Jefferies Financial Group Inc</t>
  </si>
  <si>
    <t>JEF</t>
  </si>
  <si>
    <t>KeyCorp</t>
  </si>
  <si>
    <t>KEY</t>
  </si>
  <si>
    <t>Lazard Inc</t>
  </si>
  <si>
    <t>LAZ</t>
  </si>
  <si>
    <t>Lincoln National Corp</t>
  </si>
  <si>
    <t>LNC</t>
  </si>
  <si>
    <t>Main Street Capital Corp</t>
  </si>
  <si>
    <t>MAIN</t>
  </si>
  <si>
    <t>Moelis &amp; Co</t>
  </si>
  <si>
    <t>MC</t>
  </si>
  <si>
    <t>Manulife Financial Corp</t>
  </si>
  <si>
    <t>MFC</t>
  </si>
  <si>
    <t>Annaly Capital Management Inc</t>
  </si>
  <si>
    <t>NLY</t>
  </si>
  <si>
    <t>NatWest Group plc</t>
  </si>
  <si>
    <t>NWG</t>
  </si>
  <si>
    <t>OneMain Holdings Inc</t>
  </si>
  <si>
    <t>OMF</t>
  </si>
  <si>
    <t>Bank OZK</t>
  </si>
  <si>
    <t>OZK</t>
  </si>
  <si>
    <t>Prudential Financial Inc</t>
  </si>
  <si>
    <t>PRU</t>
  </si>
  <si>
    <t>Regions Financial Corp</t>
  </si>
  <si>
    <t>RF</t>
  </si>
  <si>
    <t>Sun Life Financial Inc</t>
  </si>
  <si>
    <t>SLF</t>
  </si>
  <si>
    <t>Schweizerische Rueckversicherungs-Gesellschaft, Zu</t>
  </si>
  <si>
    <t>SSREY</t>
  </si>
  <si>
    <t>Starwood Property Trust Inc</t>
  </si>
  <si>
    <t>STWD</t>
  </si>
  <si>
    <t>Swedbank AB</t>
  </si>
  <si>
    <t>SWDBY</t>
  </si>
  <si>
    <t>Truist Financial Corp</t>
  </si>
  <si>
    <t>TFC</t>
  </si>
  <si>
    <t>T. Rowe Price Group Inc</t>
  </si>
  <si>
    <t>TROW</t>
  </si>
  <si>
    <t>United Overseas Bank Ltd</t>
  </si>
  <si>
    <t>UOVEY</t>
  </si>
  <si>
    <t>U.S. Bancorp</t>
  </si>
  <si>
    <t>USB</t>
  </si>
  <si>
    <t>Woori Financial Group Inc</t>
  </si>
  <si>
    <t>WF</t>
  </si>
  <si>
    <t>Total Change (Dividends+Equity)</t>
  </si>
  <si>
    <t>% Change</t>
  </si>
  <si>
    <t>Discard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</si>
</sst>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44" fontId="1" fillId="0" borderId="0" xfId="2" applyFont="1" applyAlignment="1">
      <alignment horizontal="center"/>
    </xf>
    <xf numFmtId="44" fontId="0" fillId="0" borderId="0" xfId="2" applyFont="1"/>
    <xf numFmtId="44" fontId="0" fillId="0" borderId="0" xfId="0" applyNumberFormat="1"/>
    <xf numFmtId="9" fontId="0" fillId="0" borderId="0" xfId="3" applyFont="1"/>
    <xf numFmtId="0" fontId="0" fillId="2" borderId="0" xfId="0" applyFill="1"/>
    <xf numFmtId="44" fontId="0" fillId="2" borderId="0" xfId="2" applyFont="1" applyFill="1"/>
    <xf numFmtId="44" fontId="0" fillId="2" borderId="0" xfId="0" applyNumberFormat="1" applyFill="1"/>
    <xf numFmtId="9" fontId="0" fillId="2" borderId="0" xfId="3" applyFont="1" applyFill="1"/>
    <xf numFmtId="43" fontId="0" fillId="2" borderId="0" xfId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N14" sqref="N14"/>
    </sheetView>
  </sheetViews>
  <sheetFormatPr defaultRowHeight="15" x14ac:dyDescent="0.25"/>
  <cols>
    <col min="1" max="1" width="48.5703125" bestFit="1" customWidth="1"/>
    <col min="3" max="3" width="12" bestFit="1" customWidth="1"/>
    <col min="4" max="4" width="14" bestFit="1" customWidth="1"/>
    <col min="5" max="6" width="12" bestFit="1" customWidth="1"/>
    <col min="8" max="8" width="30.42578125" bestFit="1" customWidth="1"/>
    <col min="9" max="9" width="13.42578125" customWidth="1"/>
  </cols>
  <sheetData>
    <row r="1" spans="1:10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99</v>
      </c>
      <c r="I1" s="1" t="s">
        <v>100</v>
      </c>
      <c r="J1" s="1" t="s">
        <v>101</v>
      </c>
    </row>
    <row r="2" spans="1:10" x14ac:dyDescent="0.25">
      <c r="A2" t="s">
        <v>41</v>
      </c>
      <c r="B2" t="s">
        <v>42</v>
      </c>
      <c r="C2" s="3">
        <v>3.5320638</v>
      </c>
      <c r="D2" s="3">
        <v>35.320638000000002</v>
      </c>
      <c r="E2" s="3">
        <v>43.409091949462891</v>
      </c>
      <c r="F2" s="3">
        <v>180.17999267578131</v>
      </c>
      <c r="G2" s="3">
        <v>136.77090072631839</v>
      </c>
      <c r="H2" s="4">
        <f>G2+D2</f>
        <v>172.09153872631839</v>
      </c>
      <c r="I2" s="5">
        <f>H2/E2</f>
        <v>3.9644123154354007</v>
      </c>
    </row>
    <row r="3" spans="1:10" x14ac:dyDescent="0.25">
      <c r="A3" t="s">
        <v>73</v>
      </c>
      <c r="B3" t="s">
        <v>74</v>
      </c>
      <c r="C3" s="3">
        <v>4.4537500000000003</v>
      </c>
      <c r="D3" s="3">
        <v>35.630000000000003</v>
      </c>
      <c r="E3" s="3">
        <v>22.139999389648441</v>
      </c>
      <c r="F3" s="3">
        <v>54.069999694824219</v>
      </c>
      <c r="G3" s="3">
        <v>31.930000305175781</v>
      </c>
      <c r="H3" s="4">
        <f>G3+D3</f>
        <v>67.560000305175777</v>
      </c>
      <c r="I3" s="5">
        <f>H3/E3</f>
        <v>3.0514906128120067</v>
      </c>
    </row>
    <row r="4" spans="1:10" x14ac:dyDescent="0.25">
      <c r="A4" t="s">
        <v>21</v>
      </c>
      <c r="B4" t="s">
        <v>22</v>
      </c>
      <c r="C4" s="3">
        <v>0.37830000000000003</v>
      </c>
      <c r="D4" s="3">
        <v>3.7829999999999999</v>
      </c>
      <c r="E4" s="3">
        <v>6.7699999809265137</v>
      </c>
      <c r="F4" s="3">
        <v>21.920000076293949</v>
      </c>
      <c r="G4" s="3">
        <v>15.15000009536743</v>
      </c>
      <c r="H4" s="4">
        <f>G4+D4</f>
        <v>18.933000095367429</v>
      </c>
      <c r="I4" s="5">
        <f>H4/E4</f>
        <v>2.796602680754563</v>
      </c>
    </row>
    <row r="5" spans="1:10" x14ac:dyDescent="0.25">
      <c r="A5" t="s">
        <v>9</v>
      </c>
      <c r="B5" t="s">
        <v>10</v>
      </c>
      <c r="C5" s="3">
        <v>1.1420999999999999</v>
      </c>
      <c r="D5" s="3">
        <v>11.420999999999999</v>
      </c>
      <c r="E5" s="3">
        <v>16.479999542236332</v>
      </c>
      <c r="F5" s="3">
        <v>42.419998168945313</v>
      </c>
      <c r="G5" s="3">
        <v>25.939998626708981</v>
      </c>
      <c r="H5" s="4">
        <f>G5+D5</f>
        <v>37.360998626708977</v>
      </c>
      <c r="I5" s="5">
        <f>H5/E5</f>
        <v>2.2670509505147169</v>
      </c>
    </row>
    <row r="6" spans="1:10" x14ac:dyDescent="0.25">
      <c r="A6" t="s">
        <v>71</v>
      </c>
      <c r="B6" t="s">
        <v>72</v>
      </c>
      <c r="C6" s="3">
        <v>0.45511588888888888</v>
      </c>
      <c r="D6" s="3">
        <v>4.0960429999999999</v>
      </c>
      <c r="E6" s="3">
        <v>5.9590520858764648</v>
      </c>
      <c r="F6" s="3">
        <v>15.289999961853029</v>
      </c>
      <c r="G6" s="3">
        <v>9.3309478759765625</v>
      </c>
      <c r="H6" s="4">
        <f>G6+D6</f>
        <v>13.426990875976562</v>
      </c>
      <c r="I6" s="5">
        <f>H6/E6</f>
        <v>2.2532091820106492</v>
      </c>
    </row>
    <row r="7" spans="1:10" x14ac:dyDescent="0.25">
      <c r="A7" t="s">
        <v>53</v>
      </c>
      <c r="B7" t="s">
        <v>54</v>
      </c>
      <c r="C7" s="3">
        <v>1.3404444444444441</v>
      </c>
      <c r="D7" s="3">
        <v>12.064</v>
      </c>
      <c r="E7" s="3">
        <v>15.22999954223633</v>
      </c>
      <c r="F7" s="3">
        <v>36.990001678466797</v>
      </c>
      <c r="G7" s="3">
        <v>21.760002136230469</v>
      </c>
      <c r="H7" s="4">
        <f>G7+D7</f>
        <v>33.824002136230469</v>
      </c>
      <c r="I7" s="5">
        <f>H7/E7</f>
        <v>2.2208800494332679</v>
      </c>
    </row>
    <row r="8" spans="1:10" x14ac:dyDescent="0.25">
      <c r="A8" t="s">
        <v>49</v>
      </c>
      <c r="B8" t="s">
        <v>50</v>
      </c>
      <c r="C8" s="3">
        <v>2.2681818181818181</v>
      </c>
      <c r="D8" s="3">
        <v>24.95</v>
      </c>
      <c r="E8" s="3">
        <v>40.180000305175781</v>
      </c>
      <c r="F8" s="3">
        <v>84.410003662109375</v>
      </c>
      <c r="G8" s="3">
        <v>44.230003356933587</v>
      </c>
      <c r="H8" s="4">
        <f>G8+D8</f>
        <v>69.180003356933582</v>
      </c>
      <c r="I8" s="5">
        <f>H8/E8</f>
        <v>1.7217521859506351</v>
      </c>
    </row>
    <row r="9" spans="1:10" x14ac:dyDescent="0.25">
      <c r="A9" t="s">
        <v>35</v>
      </c>
      <c r="B9" t="s">
        <v>36</v>
      </c>
      <c r="C9" s="3">
        <v>2.4335454545454551</v>
      </c>
      <c r="D9" s="3">
        <v>26.768999999999998</v>
      </c>
      <c r="E9" s="3">
        <v>36.680000305175781</v>
      </c>
      <c r="F9" s="3">
        <v>72.169998168945313</v>
      </c>
      <c r="G9" s="3">
        <v>35.489997863769531</v>
      </c>
      <c r="H9" s="4">
        <f>G9+D9</f>
        <v>62.25899786376953</v>
      </c>
      <c r="I9" s="5">
        <f>H9/E9</f>
        <v>1.6973554347267654</v>
      </c>
    </row>
    <row r="10" spans="1:10" x14ac:dyDescent="0.25">
      <c r="A10" s="3" t="s">
        <v>93</v>
      </c>
      <c r="B10" s="3" t="s">
        <v>94</v>
      </c>
      <c r="C10" s="3">
        <v>1.8141</v>
      </c>
      <c r="D10" s="3">
        <v>18.140999999999998</v>
      </c>
      <c r="E10" s="3">
        <v>28.139999389648441</v>
      </c>
      <c r="F10" s="3">
        <v>57.369998931884773</v>
      </c>
      <c r="G10" s="3">
        <v>29.229999542236332</v>
      </c>
      <c r="H10" s="3">
        <f>G10+D10</f>
        <v>47.370999542236333</v>
      </c>
      <c r="I10" s="5">
        <f>H10/E10</f>
        <v>1.6834044267841097</v>
      </c>
    </row>
    <row r="11" spans="1:10" x14ac:dyDescent="0.25">
      <c r="A11" t="s">
        <v>65</v>
      </c>
      <c r="B11" t="s">
        <v>66</v>
      </c>
      <c r="C11" s="3">
        <v>3.109363636363637</v>
      </c>
      <c r="D11" s="3">
        <v>34.203000000000003</v>
      </c>
      <c r="E11" s="3">
        <v>33.900001525878913</v>
      </c>
      <c r="F11" s="3">
        <v>56.270000457763672</v>
      </c>
      <c r="G11" s="3">
        <v>22.369998931884769</v>
      </c>
      <c r="H11" s="4">
        <f>G11+D11</f>
        <v>56.572998931884769</v>
      </c>
      <c r="I11" s="5">
        <f>H11/E11</f>
        <v>1.6688199523736753</v>
      </c>
    </row>
    <row r="12" spans="1:10" x14ac:dyDescent="0.25">
      <c r="A12" t="s">
        <v>45</v>
      </c>
      <c r="B12" t="s">
        <v>46</v>
      </c>
      <c r="C12" s="3">
        <v>1.269100090909091</v>
      </c>
      <c r="D12" s="3">
        <v>13.960101</v>
      </c>
      <c r="E12" s="3">
        <v>22.735567092895511</v>
      </c>
      <c r="F12" s="3">
        <v>45.689998626708977</v>
      </c>
      <c r="G12" s="3">
        <v>22.95443153381348</v>
      </c>
      <c r="H12" s="4">
        <f>G12+D12</f>
        <v>36.914532533813478</v>
      </c>
      <c r="I12" s="5">
        <f>H12/E12</f>
        <v>1.6236468781704001</v>
      </c>
    </row>
    <row r="13" spans="1:10" x14ac:dyDescent="0.25">
      <c r="A13" s="6" t="s">
        <v>33</v>
      </c>
      <c r="B13" s="6" t="s">
        <v>34</v>
      </c>
      <c r="C13" s="7">
        <v>2.2183333333333328</v>
      </c>
      <c r="D13" s="7">
        <v>13.31</v>
      </c>
      <c r="E13" s="7">
        <v>23.77</v>
      </c>
      <c r="F13" s="7">
        <v>23.77</v>
      </c>
      <c r="G13" s="7">
        <v>23.77</v>
      </c>
      <c r="H13" s="8">
        <f>G13+D13</f>
        <v>37.08</v>
      </c>
      <c r="I13" s="9">
        <f>H13/E13</f>
        <v>1.5599495161968868</v>
      </c>
    </row>
    <row r="14" spans="1:10" x14ac:dyDescent="0.25">
      <c r="A14" t="s">
        <v>19</v>
      </c>
      <c r="B14" t="s">
        <v>20</v>
      </c>
      <c r="C14" s="3">
        <v>1.6055999999999999</v>
      </c>
      <c r="D14" s="3">
        <v>16.056000000000001</v>
      </c>
      <c r="E14" s="3">
        <v>25.20000076293945</v>
      </c>
      <c r="F14" s="3">
        <v>46.849998474121087</v>
      </c>
      <c r="G14" s="3">
        <v>21.649997711181641</v>
      </c>
      <c r="H14" s="4">
        <f>G14+D14</f>
        <v>37.705997711181638</v>
      </c>
      <c r="I14" s="5">
        <f>H14/E14</f>
        <v>1.4962697051435894</v>
      </c>
    </row>
    <row r="15" spans="1:10" x14ac:dyDescent="0.25">
      <c r="A15" t="s">
        <v>67</v>
      </c>
      <c r="B15" t="s">
        <v>68</v>
      </c>
      <c r="C15" s="3">
        <v>0.77490909090909088</v>
      </c>
      <c r="D15" s="3">
        <v>8.5239999999999991</v>
      </c>
      <c r="E15" s="3">
        <v>17.819999694824219</v>
      </c>
      <c r="F15" s="3">
        <v>34.900001525878913</v>
      </c>
      <c r="G15" s="3">
        <v>17.080001831054691</v>
      </c>
      <c r="H15" s="4">
        <f>G15+D15</f>
        <v>25.604001831054688</v>
      </c>
      <c r="I15" s="5">
        <f>H15/E15</f>
        <v>1.436812697504777</v>
      </c>
      <c r="J15" s="10">
        <v>1</v>
      </c>
    </row>
    <row r="16" spans="1:10" x14ac:dyDescent="0.25">
      <c r="A16" t="s">
        <v>51</v>
      </c>
      <c r="B16" t="s">
        <v>52</v>
      </c>
      <c r="C16" s="3">
        <v>0.85311111111111115</v>
      </c>
      <c r="D16" s="3">
        <v>7.6779999999999999</v>
      </c>
      <c r="E16" s="3">
        <v>14.10000038146973</v>
      </c>
      <c r="F16" s="3">
        <v>26.559999465942379</v>
      </c>
      <c r="G16" s="3">
        <v>12.45999908447266</v>
      </c>
      <c r="H16" s="4">
        <f>G16+D16</f>
        <v>20.137999084472661</v>
      </c>
      <c r="I16" s="5">
        <f>H16/E16</f>
        <v>1.4282268467835</v>
      </c>
    </row>
    <row r="17" spans="1:9" x14ac:dyDescent="0.25">
      <c r="A17" t="s">
        <v>55</v>
      </c>
      <c r="B17" t="s">
        <v>56</v>
      </c>
      <c r="C17" s="3">
        <v>0.76366090909090911</v>
      </c>
      <c r="D17" s="3">
        <v>8.400269999999999</v>
      </c>
      <c r="E17" s="3">
        <v>20.812297821044918</v>
      </c>
      <c r="F17" s="3">
        <v>41.669998168945313</v>
      </c>
      <c r="G17" s="3">
        <v>20.857700347900391</v>
      </c>
      <c r="H17" s="4">
        <f>G17+D17</f>
        <v>29.25797034790039</v>
      </c>
      <c r="I17" s="5">
        <f>H17/E17</f>
        <v>1.4058020214526914</v>
      </c>
    </row>
    <row r="18" spans="1:9" x14ac:dyDescent="0.25">
      <c r="A18" s="3" t="s">
        <v>97</v>
      </c>
      <c r="B18" s="3" t="s">
        <v>98</v>
      </c>
      <c r="C18" s="3">
        <v>2.34775</v>
      </c>
      <c r="D18" s="3">
        <v>9.391</v>
      </c>
      <c r="E18" s="3">
        <v>32</v>
      </c>
      <c r="F18" s="3">
        <v>66.040000915527344</v>
      </c>
      <c r="G18" s="3">
        <v>34.040000915527337</v>
      </c>
      <c r="H18" s="3">
        <f>G18+D18</f>
        <v>43.431000915527335</v>
      </c>
      <c r="I18" s="5">
        <f>H18/E18</f>
        <v>1.3572187786102292</v>
      </c>
    </row>
    <row r="19" spans="1:9" x14ac:dyDescent="0.25">
      <c r="A19" s="3" t="s">
        <v>83</v>
      </c>
      <c r="B19" s="3" t="s">
        <v>84</v>
      </c>
      <c r="C19" s="3">
        <v>1.493222222222222</v>
      </c>
      <c r="D19" s="3">
        <v>13.439</v>
      </c>
      <c r="E19" s="3">
        <v>23.760000228881839</v>
      </c>
      <c r="F19" s="3">
        <v>41.909999847412109</v>
      </c>
      <c r="G19" s="3">
        <v>18.14999961853027</v>
      </c>
      <c r="H19" s="3">
        <f>G19+D19</f>
        <v>31.58899961853027</v>
      </c>
      <c r="I19" s="5">
        <f>H19/E19</f>
        <v>1.3295033381410395</v>
      </c>
    </row>
    <row r="20" spans="1:9" x14ac:dyDescent="0.25">
      <c r="A20" s="3" t="s">
        <v>79</v>
      </c>
      <c r="B20" s="3" t="s">
        <v>80</v>
      </c>
      <c r="C20" s="3">
        <v>0.61136363636363633</v>
      </c>
      <c r="D20" s="3">
        <v>6.7250000000000014</v>
      </c>
      <c r="E20" s="3">
        <v>14.35999965667725</v>
      </c>
      <c r="F20" s="3">
        <v>26.469999313354489</v>
      </c>
      <c r="G20" s="3">
        <v>12.10999965667725</v>
      </c>
      <c r="H20" s="3">
        <f>G20+D20</f>
        <v>18.834999656677251</v>
      </c>
      <c r="I20" s="5">
        <f>H20/E20</f>
        <v>1.3116295339129185</v>
      </c>
    </row>
    <row r="21" spans="1:9" x14ac:dyDescent="0.25">
      <c r="A21" t="s">
        <v>63</v>
      </c>
      <c r="B21" t="s">
        <v>64</v>
      </c>
      <c r="C21" s="3">
        <v>2.875909090909091</v>
      </c>
      <c r="D21" s="3">
        <v>31.635000000000002</v>
      </c>
      <c r="E21" s="3">
        <v>36.770000457763672</v>
      </c>
      <c r="F21" s="3">
        <v>52.630001068115227</v>
      </c>
      <c r="G21" s="3">
        <v>15.860000610351561</v>
      </c>
      <c r="H21" s="4">
        <f>G21+D21</f>
        <v>47.495000610351561</v>
      </c>
      <c r="I21" s="5">
        <f>H21/E21</f>
        <v>1.2916779988868179</v>
      </c>
    </row>
    <row r="22" spans="1:9" x14ac:dyDescent="0.25">
      <c r="A22" t="s">
        <v>43</v>
      </c>
      <c r="B22" t="s">
        <v>44</v>
      </c>
      <c r="C22" s="3">
        <v>0.79680000000000006</v>
      </c>
      <c r="D22" s="3">
        <v>7.968</v>
      </c>
      <c r="E22" s="3">
        <v>15.180000305175779</v>
      </c>
      <c r="F22" s="3">
        <v>24.719999313354489</v>
      </c>
      <c r="G22" s="3">
        <v>9.5399990081787109</v>
      </c>
      <c r="H22" s="4">
        <f>G22+D22</f>
        <v>17.507999008178711</v>
      </c>
      <c r="I22" s="5">
        <f>H22/E22</f>
        <v>1.1533595952701776</v>
      </c>
    </row>
    <row r="23" spans="1:9" x14ac:dyDescent="0.25">
      <c r="A23" t="s">
        <v>13</v>
      </c>
      <c r="B23" t="s">
        <v>14</v>
      </c>
      <c r="C23" s="3">
        <v>1.564545454545454</v>
      </c>
      <c r="D23" s="3">
        <v>17.21</v>
      </c>
      <c r="E23" s="3">
        <v>16.489999771118161</v>
      </c>
      <c r="F23" s="3">
        <v>18.090000152587891</v>
      </c>
      <c r="G23" s="3">
        <v>1.600000381469727</v>
      </c>
      <c r="H23" s="4">
        <f>G23+D23</f>
        <v>18.810000381469727</v>
      </c>
      <c r="I23" s="5">
        <f>H23/E23</f>
        <v>1.140691367043861</v>
      </c>
    </row>
    <row r="24" spans="1:9" x14ac:dyDescent="0.25">
      <c r="A24" t="s">
        <v>23</v>
      </c>
      <c r="B24" t="s">
        <v>24</v>
      </c>
      <c r="C24" s="3">
        <v>1.3828666000000001</v>
      </c>
      <c r="D24" s="3">
        <v>13.828666</v>
      </c>
      <c r="E24" s="3">
        <v>23.483333587646481</v>
      </c>
      <c r="F24" s="3">
        <v>36.380001068115227</v>
      </c>
      <c r="G24" s="3">
        <v>12.89666748046875</v>
      </c>
      <c r="H24" s="4">
        <f>G24+D24</f>
        <v>26.725333480468748</v>
      </c>
      <c r="I24" s="5">
        <f>H24/E24</f>
        <v>1.1380553523511558</v>
      </c>
    </row>
    <row r="25" spans="1:9" x14ac:dyDescent="0.25">
      <c r="A25" s="3" t="s">
        <v>81</v>
      </c>
      <c r="B25" s="3" t="s">
        <v>82</v>
      </c>
      <c r="C25" s="3">
        <v>1.554090909090909</v>
      </c>
      <c r="D25" s="3">
        <v>17.094999999999999</v>
      </c>
      <c r="E25" s="3">
        <v>38.409999847412109</v>
      </c>
      <c r="F25" s="3">
        <v>63.619998931884773</v>
      </c>
      <c r="G25" s="3">
        <v>25.20999908447266</v>
      </c>
      <c r="H25" s="3">
        <f>G25+D25</f>
        <v>42.304999084472655</v>
      </c>
      <c r="I25" s="5">
        <f>H25/E25</f>
        <v>1.1014058644242086</v>
      </c>
    </row>
    <row r="26" spans="1:9" x14ac:dyDescent="0.25">
      <c r="A26" s="3" t="s">
        <v>87</v>
      </c>
      <c r="B26" s="3" t="s">
        <v>88</v>
      </c>
      <c r="C26" s="3">
        <v>1.6138999999999999</v>
      </c>
      <c r="D26" s="3">
        <v>16.138999999999999</v>
      </c>
      <c r="E26" s="3">
        <v>24.14999961853027</v>
      </c>
      <c r="F26" s="3">
        <v>34.549999237060547</v>
      </c>
      <c r="G26" s="3">
        <v>10.39999961853027</v>
      </c>
      <c r="H26" s="3">
        <f>G26+D26</f>
        <v>26.538999618530269</v>
      </c>
      <c r="I26" s="5">
        <f>H26/E26</f>
        <v>1.0989233970077135</v>
      </c>
    </row>
    <row r="27" spans="1:9" x14ac:dyDescent="0.25">
      <c r="A27" t="s">
        <v>27</v>
      </c>
      <c r="B27" t="s">
        <v>28</v>
      </c>
      <c r="C27" s="3">
        <v>1.915888888888889</v>
      </c>
      <c r="D27" s="3">
        <v>17.242999999999999</v>
      </c>
      <c r="E27" s="3">
        <v>31.85000038146973</v>
      </c>
      <c r="F27" s="3">
        <v>48.25</v>
      </c>
      <c r="G27" s="3">
        <v>16.39999961853027</v>
      </c>
      <c r="H27" s="4">
        <f>G27+D27</f>
        <v>33.642999618530268</v>
      </c>
      <c r="I27" s="5">
        <f>H27/E27</f>
        <v>1.0562951088095969</v>
      </c>
    </row>
    <row r="28" spans="1:9" x14ac:dyDescent="0.25">
      <c r="A28" t="s">
        <v>31</v>
      </c>
      <c r="B28" t="s">
        <v>32</v>
      </c>
      <c r="C28" s="3">
        <v>1.1102000000000001</v>
      </c>
      <c r="D28" s="3">
        <v>11.102</v>
      </c>
      <c r="E28" s="3">
        <v>21.870000839233398</v>
      </c>
      <c r="F28" s="3">
        <v>33.200000762939453</v>
      </c>
      <c r="G28" s="3">
        <v>11.329999923706049</v>
      </c>
      <c r="H28" s="4">
        <f>G28+D28</f>
        <v>22.431999923706051</v>
      </c>
      <c r="I28" s="5">
        <f>H28/E28</f>
        <v>1.0256972593921654</v>
      </c>
    </row>
    <row r="29" spans="1:9" x14ac:dyDescent="0.25">
      <c r="A29" t="s">
        <v>37</v>
      </c>
      <c r="B29" t="s">
        <v>38</v>
      </c>
      <c r="C29" s="3">
        <v>2.9872727272727269</v>
      </c>
      <c r="D29" s="3">
        <v>32.86</v>
      </c>
      <c r="E29" s="3">
        <v>41.5</v>
      </c>
      <c r="F29" s="3">
        <v>46.240001678466797</v>
      </c>
      <c r="G29" s="3">
        <v>4.7400016784667969</v>
      </c>
      <c r="H29" s="4">
        <f>G29+D29</f>
        <v>37.600001678466796</v>
      </c>
      <c r="I29" s="5">
        <f>H29/E29</f>
        <v>0.90602413683052518</v>
      </c>
    </row>
    <row r="30" spans="1:9" x14ac:dyDescent="0.25">
      <c r="A30" t="s">
        <v>17</v>
      </c>
      <c r="B30" t="s">
        <v>18</v>
      </c>
      <c r="C30" s="3">
        <v>1.0272727272727269</v>
      </c>
      <c r="D30" s="3">
        <v>11.3</v>
      </c>
      <c r="E30" s="3">
        <v>15.539473533630369</v>
      </c>
      <c r="F30" s="3">
        <v>16.420000076293949</v>
      </c>
      <c r="G30" s="3">
        <v>0.88052654266357422</v>
      </c>
      <c r="H30" s="4">
        <f>G30+D30</f>
        <v>12.180526542663575</v>
      </c>
      <c r="I30" s="5">
        <f>H30/E30</f>
        <v>0.78384422202609405</v>
      </c>
    </row>
    <row r="31" spans="1:9" x14ac:dyDescent="0.25">
      <c r="A31" s="3" t="s">
        <v>91</v>
      </c>
      <c r="B31" s="3" t="s">
        <v>92</v>
      </c>
      <c r="C31" s="3">
        <v>3.7890909090909091</v>
      </c>
      <c r="D31" s="3">
        <v>41.68</v>
      </c>
      <c r="E31" s="3">
        <v>75.260002136230469</v>
      </c>
      <c r="F31" s="3">
        <v>90.169998168945313</v>
      </c>
      <c r="G31" s="3">
        <v>14.90999603271484</v>
      </c>
      <c r="H31" s="3">
        <f>G31+D31</f>
        <v>56.589996032714836</v>
      </c>
      <c r="I31" s="5">
        <f>H31/E31</f>
        <v>0.7519265802076317</v>
      </c>
    </row>
    <row r="32" spans="1:9" x14ac:dyDescent="0.25">
      <c r="A32" t="s">
        <v>29</v>
      </c>
      <c r="B32" t="s">
        <v>30</v>
      </c>
      <c r="C32" s="3">
        <v>2.5806</v>
      </c>
      <c r="D32" s="3">
        <v>25.806000000000001</v>
      </c>
      <c r="E32" s="3">
        <v>55.680000305175781</v>
      </c>
      <c r="F32" s="3">
        <v>70.120002746582031</v>
      </c>
      <c r="G32" s="3">
        <v>14.44000244140625</v>
      </c>
      <c r="H32" s="4">
        <f>G32+D32</f>
        <v>40.246002441406247</v>
      </c>
      <c r="I32" s="5">
        <f>H32/E32</f>
        <v>0.72280894793143791</v>
      </c>
    </row>
    <row r="33" spans="1:9" x14ac:dyDescent="0.25">
      <c r="A33" s="3" t="s">
        <v>85</v>
      </c>
      <c r="B33" s="3" t="s">
        <v>86</v>
      </c>
      <c r="C33" s="3">
        <v>1.7454545454545449</v>
      </c>
      <c r="D33" s="3">
        <v>19.2</v>
      </c>
      <c r="E33" s="3">
        <v>21.95000076293945</v>
      </c>
      <c r="F33" s="3">
        <v>17.219999313354489</v>
      </c>
      <c r="G33" s="3">
        <v>-4.7300014495849609</v>
      </c>
      <c r="H33" s="3">
        <f>G33+D33</f>
        <v>14.469998550415038</v>
      </c>
      <c r="I33" s="5">
        <f>H33/E33</f>
        <v>0.65922542357475888</v>
      </c>
    </row>
    <row r="34" spans="1:9" x14ac:dyDescent="0.25">
      <c r="A34" t="s">
        <v>7</v>
      </c>
      <c r="B34" t="s">
        <v>8</v>
      </c>
      <c r="C34" s="3">
        <v>1.2551000000000001</v>
      </c>
      <c r="D34" s="3">
        <v>12.551</v>
      </c>
      <c r="E34" s="3">
        <v>25</v>
      </c>
      <c r="F34" s="3">
        <v>28.510000228881839</v>
      </c>
      <c r="G34" s="3">
        <v>3.5100002288818359</v>
      </c>
      <c r="H34" s="4">
        <f>G34+D34</f>
        <v>16.061000228881838</v>
      </c>
      <c r="I34" s="5">
        <f>H34/E34</f>
        <v>0.64244000915527355</v>
      </c>
    </row>
    <row r="35" spans="1:9" x14ac:dyDescent="0.25">
      <c r="A35" t="s">
        <v>11</v>
      </c>
      <c r="B35" t="s">
        <v>12</v>
      </c>
      <c r="C35" s="3">
        <v>0.99640000000000006</v>
      </c>
      <c r="D35" s="3">
        <v>9.9640000000000004</v>
      </c>
      <c r="E35" s="3">
        <v>21.840000152587891</v>
      </c>
      <c r="F35" s="3">
        <v>25.620000839233398</v>
      </c>
      <c r="G35" s="3">
        <v>3.7800006866455078</v>
      </c>
      <c r="H35" s="4">
        <f>G35+D35</f>
        <v>13.744000686645508</v>
      </c>
      <c r="I35" s="5">
        <f>H35/E35</f>
        <v>0.62930405634713049</v>
      </c>
    </row>
    <row r="36" spans="1:9" x14ac:dyDescent="0.25">
      <c r="A36" t="s">
        <v>47</v>
      </c>
      <c r="B36" t="s">
        <v>48</v>
      </c>
      <c r="C36" s="3">
        <v>0.49909090909090909</v>
      </c>
      <c r="D36" s="3">
        <v>5.49</v>
      </c>
      <c r="E36" s="3">
        <v>13.22000026702881</v>
      </c>
      <c r="F36" s="3">
        <v>15.789999961853029</v>
      </c>
      <c r="G36" s="3">
        <v>2.5699996948242192</v>
      </c>
      <c r="H36" s="4">
        <f>G36+D36</f>
        <v>8.059999694824219</v>
      </c>
      <c r="I36" s="5">
        <f>H36/E36</f>
        <v>0.60968226414686</v>
      </c>
    </row>
    <row r="37" spans="1:9" x14ac:dyDescent="0.25">
      <c r="A37" t="s">
        <v>59</v>
      </c>
      <c r="B37" t="s">
        <v>60</v>
      </c>
      <c r="C37" s="3">
        <v>1.9572727272727271</v>
      </c>
      <c r="D37" s="3">
        <v>21.53</v>
      </c>
      <c r="E37" s="3">
        <v>41.090000152587891</v>
      </c>
      <c r="F37" s="3">
        <v>41.479999542236328</v>
      </c>
      <c r="G37" s="3">
        <v>0.3899993896484375</v>
      </c>
      <c r="H37" s="4">
        <f>G37+D37</f>
        <v>21.919999389648439</v>
      </c>
      <c r="I37" s="5">
        <f>H37/E37</f>
        <v>0.53346311288022452</v>
      </c>
    </row>
    <row r="38" spans="1:9" x14ac:dyDescent="0.25">
      <c r="A38" t="s">
        <v>57</v>
      </c>
      <c r="B38" t="s">
        <v>58</v>
      </c>
      <c r="C38" s="3">
        <v>0.62318181818181817</v>
      </c>
      <c r="D38" s="3">
        <v>6.8550000000000004</v>
      </c>
      <c r="E38" s="3">
        <v>18.270000457763668</v>
      </c>
      <c r="F38" s="3">
        <v>20.469999313354489</v>
      </c>
      <c r="G38" s="3">
        <v>2.1999988555908199</v>
      </c>
      <c r="H38" s="4">
        <f>G38+D38</f>
        <v>9.0549988555908207</v>
      </c>
      <c r="I38" s="5">
        <f>H38/E38</f>
        <v>0.49562116194381278</v>
      </c>
    </row>
    <row r="39" spans="1:9" x14ac:dyDescent="0.25">
      <c r="A39" t="s">
        <v>69</v>
      </c>
      <c r="B39" t="s">
        <v>70</v>
      </c>
      <c r="C39" s="3">
        <v>3.3436363636363642</v>
      </c>
      <c r="D39" s="3">
        <v>36.78</v>
      </c>
      <c r="E39" s="3">
        <v>39.880001068115227</v>
      </c>
      <c r="F39" s="3">
        <v>21.370000839233398</v>
      </c>
      <c r="G39" s="3">
        <v>-18.510000228881839</v>
      </c>
      <c r="H39" s="4">
        <f>G39+D39</f>
        <v>18.269999771118162</v>
      </c>
      <c r="I39" s="5">
        <f>H39/E39</f>
        <v>0.45812435511004418</v>
      </c>
    </row>
    <row r="40" spans="1:9" x14ac:dyDescent="0.25">
      <c r="A40" s="3" t="s">
        <v>89</v>
      </c>
      <c r="B40" s="3" t="s">
        <v>90</v>
      </c>
      <c r="C40" s="3">
        <v>1.6209090909090911</v>
      </c>
      <c r="D40" s="3">
        <v>17.829999999999998</v>
      </c>
      <c r="E40" s="3">
        <v>47.020000457763672</v>
      </c>
      <c r="F40" s="3">
        <v>47.159999847412109</v>
      </c>
      <c r="G40" s="3">
        <v>0.1399993896484375</v>
      </c>
      <c r="H40" s="3">
        <f>G40+D40</f>
        <v>17.969999389648436</v>
      </c>
      <c r="I40" s="5">
        <f>H40/E40</f>
        <v>0.38217777998088753</v>
      </c>
    </row>
    <row r="41" spans="1:9" x14ac:dyDescent="0.25">
      <c r="A41" t="s">
        <v>77</v>
      </c>
      <c r="B41" t="s">
        <v>78</v>
      </c>
      <c r="C41" s="3">
        <v>3.954545454545455</v>
      </c>
      <c r="D41" s="3">
        <v>43.5</v>
      </c>
      <c r="E41" s="3">
        <v>104.05999755859381</v>
      </c>
      <c r="F41" s="3">
        <v>97.580001831054688</v>
      </c>
      <c r="G41" s="3">
        <v>-6.4799957275390634</v>
      </c>
      <c r="H41" s="4">
        <f>G41+D41</f>
        <v>37.020004272460938</v>
      </c>
      <c r="I41" s="5">
        <f>H41/E41</f>
        <v>0.35575634384976629</v>
      </c>
    </row>
    <row r="42" spans="1:9" x14ac:dyDescent="0.25">
      <c r="A42" s="3" t="s">
        <v>95</v>
      </c>
      <c r="B42" s="3" t="s">
        <v>96</v>
      </c>
      <c r="C42" s="3">
        <v>1.5168181818181821</v>
      </c>
      <c r="D42" s="3">
        <v>16.684999999999999</v>
      </c>
      <c r="E42" s="3">
        <v>51.369998931884773</v>
      </c>
      <c r="F42" s="3">
        <v>52.950000762939453</v>
      </c>
      <c r="G42" s="3">
        <v>1.5800018310546879</v>
      </c>
      <c r="H42" s="3">
        <f>G42+D42</f>
        <v>18.265001831054686</v>
      </c>
      <c r="I42" s="5">
        <f>H42/E42</f>
        <v>0.35555776155015273</v>
      </c>
    </row>
    <row r="43" spans="1:9" x14ac:dyDescent="0.25">
      <c r="A43" t="s">
        <v>15</v>
      </c>
      <c r="B43" t="s">
        <v>16</v>
      </c>
      <c r="C43" s="3">
        <v>0.97818181818181826</v>
      </c>
      <c r="D43" s="3">
        <v>10.76</v>
      </c>
      <c r="E43" s="3">
        <v>35.740001678466797</v>
      </c>
      <c r="F43" s="3">
        <v>36.090000152587891</v>
      </c>
      <c r="G43" s="3">
        <v>0.34999847412109381</v>
      </c>
      <c r="H43" s="4">
        <f>G43+D43</f>
        <v>11.109998474121094</v>
      </c>
      <c r="I43" s="5">
        <f>H43/E43</f>
        <v>0.31085612625515968</v>
      </c>
    </row>
    <row r="44" spans="1:9" x14ac:dyDescent="0.25">
      <c r="A44" t="s">
        <v>75</v>
      </c>
      <c r="B44" t="s">
        <v>76</v>
      </c>
      <c r="C44" s="3">
        <v>1.0541818181818181</v>
      </c>
      <c r="D44" s="3">
        <v>11.596</v>
      </c>
      <c r="E44" s="3">
        <v>52.590000152587891</v>
      </c>
      <c r="F44" s="3">
        <v>46.310001373291023</v>
      </c>
      <c r="G44" s="3">
        <v>-6.279998779296875</v>
      </c>
      <c r="H44" s="4">
        <f>G44+D44</f>
        <v>5.3160012207031251</v>
      </c>
      <c r="I44" s="5">
        <f>H44/E44</f>
        <v>0.10108387916484025</v>
      </c>
    </row>
    <row r="45" spans="1:9" x14ac:dyDescent="0.25">
      <c r="A45" t="s">
        <v>25</v>
      </c>
      <c r="B45" t="s">
        <v>26</v>
      </c>
      <c r="C45" s="3">
        <v>1.26</v>
      </c>
      <c r="D45" s="3">
        <v>13.86</v>
      </c>
      <c r="E45" s="3">
        <v>39.580001831054688</v>
      </c>
      <c r="F45" s="3">
        <v>23.39999961853027</v>
      </c>
      <c r="G45" s="3">
        <v>-16.180002212524411</v>
      </c>
      <c r="H45" s="4">
        <f>G45+D45</f>
        <v>-2.3200022125244111</v>
      </c>
      <c r="I45" s="5">
        <f>H45/E45</f>
        <v>-5.8615515543107545E-2</v>
      </c>
    </row>
    <row r="46" spans="1:9" x14ac:dyDescent="0.25">
      <c r="A46" t="s">
        <v>39</v>
      </c>
      <c r="B46" t="s">
        <v>40</v>
      </c>
      <c r="C46" s="3">
        <v>1.1718181818181821</v>
      </c>
      <c r="D46" s="3">
        <v>12.89</v>
      </c>
      <c r="E46" s="3">
        <v>44.680000305175781</v>
      </c>
      <c r="F46" s="3">
        <v>27.729999542236332</v>
      </c>
      <c r="G46" s="3">
        <v>-16.95000076293945</v>
      </c>
      <c r="H46" s="4">
        <f>G46+D46</f>
        <v>-4.060000762939449</v>
      </c>
      <c r="I46" s="5">
        <f>H46/E46</f>
        <v>-9.0868413948267904E-2</v>
      </c>
    </row>
    <row r="47" spans="1:9" x14ac:dyDescent="0.25">
      <c r="A47" t="s">
        <v>61</v>
      </c>
      <c r="B47" t="s">
        <v>62</v>
      </c>
      <c r="C47" s="3">
        <v>1.4218181818181821</v>
      </c>
      <c r="D47" s="3">
        <v>15.64</v>
      </c>
      <c r="E47" s="3">
        <v>66.269996643066406</v>
      </c>
      <c r="F47" s="3">
        <v>34.880001068115227</v>
      </c>
      <c r="G47" s="3">
        <v>-31.389995574951168</v>
      </c>
      <c r="H47" s="4">
        <f>G47+D47</f>
        <v>-15.749995574951168</v>
      </c>
      <c r="I47" s="5">
        <f>H47/E47</f>
        <v>-0.23766404666928612</v>
      </c>
    </row>
  </sheetData>
  <autoFilter ref="A1:I47" xr:uid="{00000000-0001-0000-0000-000000000000}">
    <sortState xmlns:xlrd2="http://schemas.microsoft.com/office/spreadsheetml/2017/richdata2" ref="A2:I47">
      <sortCondition descending="1" ref="I1:I47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Stritzinger, John</cp:lastModifiedBy>
  <dcterms:created xsi:type="dcterms:W3CDTF">2026-04-06T01:24:26Z</dcterms:created>
  <dcterms:modified xsi:type="dcterms:W3CDTF">2026-04-06T01:30:26Z</dcterms:modified>
</cp:coreProperties>
</file>